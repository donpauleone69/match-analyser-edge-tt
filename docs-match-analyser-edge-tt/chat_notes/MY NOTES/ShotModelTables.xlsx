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ev\match-analyser-edge-tt\docs-match-analyser-edge-tt\chat_notes\MY NOTES\"/>
    </mc:Choice>
  </mc:AlternateContent>
  <xr:revisionPtr revIDLastSave="0" documentId="13_ncr:1_{3F5490ED-7492-4F71-966E-7668B41ABED0}" xr6:coauthVersionLast="47" xr6:coauthVersionMax="47" xr10:uidLastSave="{00000000-0000-0000-0000-000000000000}"/>
  <bookViews>
    <workbookView minimized="1" xWindow="3337" yWindow="1943" windowWidth="15660" windowHeight="11820" activeTab="1" xr2:uid="{00000000-000D-0000-FFFF-FFFF00000000}"/>
  </bookViews>
  <sheets>
    <sheet name="beginning and ends" sheetId="5" r:id="rId1"/>
    <sheet name="distilled" sheetId="6" r:id="rId2"/>
    <sheet name="full point" sheetId="3" r:id="rId3"/>
    <sheet name="Sheet2" sheetId="4" r:id="rId4"/>
    <sheet name="Objective" sheetId="1" r:id="rId5"/>
    <sheet name="Subjective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4" i="6" l="1"/>
  <c r="E153" i="6"/>
  <c r="E152" i="6"/>
  <c r="E151" i="6"/>
  <c r="E150" i="6"/>
  <c r="E149" i="6"/>
  <c r="E148" i="6"/>
  <c r="E147" i="6"/>
  <c r="E146" i="6"/>
  <c r="E145" i="6"/>
  <c r="E144" i="6"/>
  <c r="E141" i="6"/>
  <c r="E140" i="6"/>
  <c r="E139" i="6"/>
  <c r="E138" i="6"/>
  <c r="E137" i="6"/>
  <c r="E134" i="6"/>
  <c r="I141" i="6" s="1"/>
  <c r="E133" i="6"/>
  <c r="I144" i="6" s="1"/>
  <c r="E132" i="6"/>
  <c r="I139" i="6" s="1"/>
  <c r="E131" i="6"/>
  <c r="I138" i="6" s="1"/>
  <c r="E130" i="6"/>
  <c r="I137" i="6" s="1"/>
  <c r="E129" i="6"/>
  <c r="E128" i="6"/>
  <c r="E127" i="6"/>
  <c r="E126" i="6"/>
  <c r="E125" i="6"/>
  <c r="I127" i="6" s="1"/>
  <c r="E124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5" i="6"/>
  <c r="E84" i="6"/>
  <c r="E83" i="6"/>
  <c r="E82" i="6"/>
  <c r="E81" i="6"/>
  <c r="E80" i="6"/>
  <c r="E79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N19" i="6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9" i="3"/>
  <c r="M19" i="3"/>
  <c r="I147" i="6" l="1"/>
  <c r="I145" i="6"/>
  <c r="I146" i="6"/>
  <c r="I125" i="6"/>
  <c r="I140" i="6"/>
  <c r="I126" i="6"/>
</calcChain>
</file>

<file path=xl/sharedStrings.xml><?xml version="1.0" encoding="utf-8"?>
<sst xmlns="http://schemas.openxmlformats.org/spreadsheetml/2006/main" count="1379" uniqueCount="314">
  <si>
    <t>Object</t>
  </si>
  <si>
    <t>Property</t>
  </si>
  <si>
    <t>Required?</t>
  </si>
  <si>
    <t>Can be inferred from?</t>
  </si>
  <si>
    <t>ShotContext</t>
  </si>
  <si>
    <t>rallyShotNumber</t>
  </si>
  <si>
    <t>Yes</t>
  </si>
  <si>
    <t>No</t>
  </si>
  <si>
    <t>playerId</t>
  </si>
  <si>
    <t>isServe</t>
  </si>
  <si>
    <t>rallyShotNumber = 1</t>
  </si>
  <si>
    <t>isReceive</t>
  </si>
  <si>
    <t>rallyShotNumber = 2</t>
  </si>
  <si>
    <t>BallBefore</t>
  </si>
  <si>
    <t>spin</t>
  </si>
  <si>
    <t>Optional</t>
  </si>
  <si>
    <t>AI/video</t>
  </si>
  <si>
    <t>speed</t>
  </si>
  <si>
    <t>Contact + result</t>
  </si>
  <si>
    <t>trajectory</t>
  </si>
  <si>
    <t>Video</t>
  </si>
  <si>
    <t>arrivalPosition</t>
  </si>
  <si>
    <t>Previous shot direction</t>
  </si>
  <si>
    <t>PlayerBefore</t>
  </si>
  <si>
    <t>position</t>
  </si>
  <si>
    <t>PlayerAfter of previous shot</t>
  </si>
  <si>
    <t>PlayerShot</t>
  </si>
  <si>
    <t>wing</t>
  </si>
  <si>
    <t>shotType</t>
  </si>
  <si>
    <t>AI pattern detection</t>
  </si>
  <si>
    <t>contactDepth</t>
  </si>
  <si>
    <t>Ball depth + movement</t>
  </si>
  <si>
    <t>spinApplied</t>
  </si>
  <si>
    <t>Swipe input / video</t>
  </si>
  <si>
    <t>spinStrength</t>
  </si>
  <si>
    <t>Video/AI</t>
  </si>
  <si>
    <t>BallAfter</t>
  </si>
  <si>
    <t>direction</t>
  </si>
  <si>
    <t>depth</t>
  </si>
  <si>
    <t>result</t>
  </si>
  <si>
    <t>PlayerAfter</t>
  </si>
  <si>
    <t>Next PlayerBefore</t>
  </si>
  <si>
    <t>Outcome</t>
  </si>
  <si>
    <t>isRallyEnd</t>
  </si>
  <si>
    <t>Derived</t>
  </si>
  <si>
    <t>Result</t>
  </si>
  <si>
    <t>isWinner</t>
  </si>
  <si>
    <t>Result + opponent unable to return</t>
  </si>
  <si>
    <t>isError</t>
  </si>
  <si>
    <t>Result (net/long/fault)</t>
  </si>
  <si>
    <t>Category</t>
  </si>
  <si>
    <t>Suggested Answers</t>
  </si>
  <si>
    <t>Shot Intent</t>
  </si>
  <si>
    <t>shotIntent</t>
  </si>
  <si>
    <t>attack / control / defence / finish / variation</t>
  </si>
  <si>
    <t>Shot Quality</t>
  </si>
  <si>
    <t>shotQuality</t>
  </si>
  <si>
    <t>poor / average / good / excellent</t>
  </si>
  <si>
    <t>Error Type</t>
  </si>
  <si>
    <t>errorClassification</t>
  </si>
  <si>
    <t>forced / unforced / semi-forced</t>
  </si>
  <si>
    <t>Incoming Difficulty</t>
  </si>
  <si>
    <t>incomingDifficulty</t>
  </si>
  <si>
    <t>easy / neutral / difficult</t>
  </si>
  <si>
    <t>Recovery Quality</t>
  </si>
  <si>
    <t>recoveryQuality</t>
  </si>
  <si>
    <t>poor / average / good</t>
  </si>
  <si>
    <t>GPT</t>
  </si>
  <si>
    <t>ME</t>
  </si>
  <si>
    <t>Subjective</t>
  </si>
  <si>
    <t>Y</t>
  </si>
  <si>
    <t>N</t>
  </si>
  <si>
    <t>previous shot</t>
  </si>
  <si>
    <t>playerShot</t>
  </si>
  <si>
    <t>yes</t>
  </si>
  <si>
    <t>n</t>
  </si>
  <si>
    <t>One Input needed</t>
  </si>
  <si>
    <t>no</t>
  </si>
  <si>
    <t>Tagging</t>
  </si>
  <si>
    <t>Consistent input every shot?</t>
  </si>
  <si>
    <t>derived from previous</t>
  </si>
  <si>
    <t>from</t>
  </si>
  <si>
    <t>playerShotPosition from previous shot</t>
  </si>
  <si>
    <t>wing, previous ball after position</t>
  </si>
  <si>
    <t>YES</t>
  </si>
  <si>
    <t>Required for DB</t>
  </si>
  <si>
    <t>rallyScore</t>
  </si>
  <si>
    <t>SORT OF IT adds to pressure subjective</t>
  </si>
  <si>
    <t>destination</t>
  </si>
  <si>
    <t>incoming</t>
  </si>
  <si>
    <t>outgoing</t>
  </si>
  <si>
    <t>time</t>
  </si>
  <si>
    <t>object</t>
  </si>
  <si>
    <t>ball</t>
  </si>
  <si>
    <t>player</t>
  </si>
  <si>
    <t>distance</t>
  </si>
  <si>
    <t>distanceFromTable</t>
  </si>
  <si>
    <t>arc</t>
  </si>
  <si>
    <t>database</t>
  </si>
  <si>
    <t>contact</t>
  </si>
  <si>
    <t>Subjective Category</t>
  </si>
  <si>
    <t>Property Name</t>
  </si>
  <si>
    <t>Suggested answers</t>
  </si>
  <si>
    <t>Objective Properties</t>
  </si>
  <si>
    <t>Pressure</t>
  </si>
  <si>
    <t>// RECORDED DATA (user input)</t>
  </si>
  <si>
    <t>// DERIVED DATA</t>
  </si>
  <si>
    <t>// INFERRED DATA (AI/ML)</t>
  </si>
  <si>
    <t>- id: string</t>
  </si>
  <si>
    <t>- rally_id: string  // FK to rallies</t>
  </si>
  <si>
    <t>- video_id: string | null  // Which video segment</t>
  </si>
  <si>
    <t>- time: number  // Timestamp in video</t>
  </si>
  <si>
    <t>- shot_index: number  // 1-based</t>
  </si>
  <si>
    <t>- player_id: string  // FK to players</t>
  </si>
  <si>
    <t>- serve_spin_family: 'under' | 'top' | 'no_spin' | 'side' | null</t>
  </si>
  <si>
    <t>- serve_length: 'short' | 'half_long' | 'long' | null</t>
  </si>
  <si>
    <t>- wing: 'FH' | 'BH' | null</t>
  </si>
  <si>
    <t>- intent: 'defensive' | 'neutral' | 'aggressive' | null</t>
  </si>
  <si>
    <t>- shot_result: 'good' | 'average' | 'in_net' | 'missed_long' | null</t>
  </si>
  <si>
    <t>- shot_origin: 'left' | 'mid' | 'right' | null</t>
  </si>
  <si>
    <t>- shot_destination: 'left' | 'mid' | 'right' | null</t>
  </si>
  <si>
    <t>- is_rally_end: boolean</t>
  </si>
  <si>
    <t>- rally_end_role: 'winner' | 'forced_error' | 'unforced_error' | 'none'</t>
  </si>
  <si>
    <t>- inferred_pressure_level: 'low' | 'medium' | 'high' | null</t>
  </si>
  <si>
    <t>- inferred_intent_quality: 'correct' | 'over_aggressive' | 'over_passive' | 'misread' | null</t>
  </si>
  <si>
    <t>- inferred_player_position: 'wide_fh' | 'normal' | 'wide_bh' | 'very_wide_fh' | 'very_wide_bh' | null</t>
  </si>
  <si>
    <t>- inferred_distance_from_table: 'close' | 'mid' | 'far' | null</t>
  </si>
  <si>
    <t>- inferred_shot_type: string | null  // e.g., 'serve', 'fh_loop_vs_under'</t>
  </si>
  <si>
    <t>- inferred_shot_confidence: 'low' | 'medium' | 'high' | null</t>
  </si>
  <si>
    <t>- inferred_spin: string | null  // e.g., 'heavy_topspin'</t>
  </si>
  <si>
    <t>- inferred_spin_confidence: 'low' | 'medium' | 'high' | null</t>
  </si>
  <si>
    <t>- inferred_is_third_ball_attack: boolean</t>
  </si>
  <si>
    <t>- inferred_is_receive_attack: boolean</t>
  </si>
  <si>
    <t>PARTIALLY DERIVED</t>
  </si>
  <si>
    <t>forced v unforced is derived if its serve or receive</t>
  </si>
  <si>
    <t>winner always derived</t>
  </si>
  <si>
    <t>Required</t>
  </si>
  <si>
    <t>rally-ended-with</t>
  </si>
  <si>
    <t>under / none / top</t>
  </si>
  <si>
    <t>slow / medium / fast</t>
  </si>
  <si>
    <t>low / medium / high</t>
  </si>
  <si>
    <t>left / middle / right</t>
  </si>
  <si>
    <t>short / middle / long</t>
  </si>
  <si>
    <t>close / mid / far</t>
  </si>
  <si>
    <t>backhand / forehand</t>
  </si>
  <si>
    <t>serve / push / dig / drive / loop / smash / chop / block</t>
  </si>
  <si>
    <t>winner / forced-error / unforced-error</t>
  </si>
  <si>
    <t>- set_id: string  // FK to sets</t>
  </si>
  <si>
    <t>- rally_index: number</t>
  </si>
  <si>
    <t>- has_video_data: boolean</t>
  </si>
  <si>
    <t>- end_of_point_time: number | null  // Timestamp in video</t>
  </si>
  <si>
    <t>- server_id: string  // FK to players</t>
  </si>
  <si>
    <t>- receiver_id: string  // FK to players</t>
  </si>
  <si>
    <t>- is_scoring: boolean</t>
  </si>
  <si>
    <t>- winner_id: string | null  // FK to players</t>
  </si>
  <si>
    <t>- player1_score_after: number</t>
  </si>
  <si>
    <t>- player2_score_after: number</t>
  </si>
  <si>
    <t>- set_player1_final_score: number  // Set context</t>
  </si>
  <si>
    <t>- set_player2_final_score: number  // Set context</t>
  </si>
  <si>
    <t>- set_winner_id: string | null</t>
  </si>
  <si>
    <t>- point_end_type: 'serviceFault' | 'receiveError' | 'forcedError' | 'unforcedError' | 'winnerShot' | null</t>
  </si>
  <si>
    <t>- luck_type: 'none' | 'luckyNet' | 'luckyEdgeTable' | 'luckyEdgeBat' | null</t>
  </si>
  <si>
    <t>- opponent_luck_overcome: boolean | null</t>
  </si>
  <si>
    <t>- is_highlight: boolean</t>
  </si>
  <si>
    <t>- framework_confirmed: boolean  // Phase 1 complete</t>
  </si>
  <si>
    <t>- detail_complete: boolean  // Phase 2 complete</t>
  </si>
  <si>
    <t>- server_corrected: boolean</t>
  </si>
  <si>
    <t>- score_corrected: boolean</t>
  </si>
  <si>
    <t>- correction_notes: string | null</t>
  </si>
  <si>
    <t>From rallies table</t>
  </si>
  <si>
    <t>not shot</t>
  </si>
  <si>
    <t>Does it have</t>
  </si>
  <si>
    <t>shot_number</t>
  </si>
  <si>
    <t>SIMPLY ASK: DOES A SHOT HAVE OR DO *****? AND IF SO IT LIVES HERE</t>
  </si>
  <si>
    <t>SIMPLY ASK: DOES A RALLY HAVE OR DO *****? AND IF SO IT LIVES THERE</t>
  </si>
  <si>
    <t>yes / no</t>
  </si>
  <si>
    <t>isInPlay</t>
  </si>
  <si>
    <t>inferred</t>
  </si>
  <si>
    <t xml:space="preserve"> in-net / missed-table</t>
  </si>
  <si>
    <t>Match starts when</t>
  </si>
  <si>
    <t>Rally ends when</t>
  </si>
  <si>
    <t>Match ends when</t>
  </si>
  <si>
    <t>Set ends when</t>
  </si>
  <si>
    <t>Shot ends when</t>
  </si>
  <si>
    <t>Shot starts when</t>
  </si>
  <si>
    <t>Rally starts when</t>
  </si>
  <si>
    <t>Set starts when</t>
  </si>
  <si>
    <t>a player serves</t>
  </si>
  <si>
    <t>player fails to make a valid shot</t>
  </si>
  <si>
    <t>player gets to 11 points</t>
  </si>
  <si>
    <t>a player wins 3 sets</t>
  </si>
  <si>
    <t>a player serves the first serve of the first set</t>
  </si>
  <si>
    <t>a player serves the first serve of the current set</t>
  </si>
  <si>
    <t>Match, Set, Rally and Shot all have the same start condition</t>
  </si>
  <si>
    <t>overlap….</t>
  </si>
  <si>
    <t>Previous shot</t>
  </si>
  <si>
    <t>Actually Shot</t>
  </si>
  <si>
    <t>left / middle / right / missed-long</t>
  </si>
  <si>
    <t>short / middle / long / in-net / missed-wide</t>
  </si>
  <si>
    <t>needed for serve</t>
  </si>
  <si>
    <t>nice</t>
  </si>
  <si>
    <t>needed for shot</t>
  </si>
  <si>
    <t>SERVE</t>
  </si>
  <si>
    <t>Details/inference</t>
  </si>
  <si>
    <t>infered from</t>
  </si>
  <si>
    <t>INPUT</t>
  </si>
  <si>
    <t>shotID</t>
  </si>
  <si>
    <t>ShotID</t>
  </si>
  <si>
    <t>PlayerID</t>
  </si>
  <si>
    <t>Intent</t>
  </si>
  <si>
    <t>Infered from</t>
  </si>
  <si>
    <t>INPUT OR INFER</t>
  </si>
  <si>
    <t>Phase 1</t>
  </si>
  <si>
    <t>Phase 2 if…</t>
  </si>
  <si>
    <t>subjective</t>
  </si>
  <si>
    <t>serve / push / dig / drive / loop / smash / chop / block / etc…...</t>
  </si>
  <si>
    <t>Objective</t>
  </si>
  <si>
    <t>defensive / neutral / aggressive / finish</t>
  </si>
  <si>
    <t>forced / unforced</t>
  </si>
  <si>
    <t>inferred_pressure_level: ... | null            // ❌ Always null</t>
  </si>
  <si>
    <t>inferred_intent_quality: ... | null            // ❌ Always null</t>
  </si>
  <si>
    <t>inferred_distance_from_table: ... | null       // ❌ Always null</t>
  </si>
  <si>
    <t>inferred_spin: string | null                   // ❌ Always null</t>
  </si>
  <si>
    <t>inferred_spin_confidence: ... | null           // ❌ Always null</t>
  </si>
  <si>
    <t>inferred_is_third_ball_attack: boolean         // ❌ Always false</t>
  </si>
  <si>
    <t>inferred_is_receive_attack: boolean            // ❌ Always false</t>
  </si>
  <si>
    <t>// Only TWO inferred fields ARE populated:</t>
  </si>
  <si>
    <t>inferred_shot_confidence: ... | null           // ✅ Set to 'high' for serves</t>
  </si>
  <si>
    <t>null</t>
  </si>
  <si>
    <t>KEEP: intent           null or       defensive / neutral / aggressive / finish</t>
  </si>
  <si>
    <t>KEEP: serve_spin_family</t>
  </si>
  <si>
    <t>left / middle / right / missed_long</t>
  </si>
  <si>
    <t>short / middle / long / in_net / missed_wide</t>
  </si>
  <si>
    <t>rally_ended_with</t>
  </si>
  <si>
    <t>winner / forced_error / unforced_error</t>
  </si>
  <si>
    <t xml:space="preserve"> in_net / missed_table</t>
  </si>
  <si>
    <t>forced / unforced / semi_forced</t>
  </si>
  <si>
    <t>_ id: string</t>
  </si>
  <si>
    <t>_ rally_id: string  // FK to rallies</t>
  </si>
  <si>
    <t>_ point_end_type: 'serviceFault' | 'receiveError' | 'forcedError' | 'unforcedError' | 'winnerShot' | null</t>
  </si>
  <si>
    <t>_ video_id: string | null  // Which video segment</t>
  </si>
  <si>
    <t>_ luck_type: 'none' | 'luckyNet' | 'luckyEdgeTable' | 'luckyEdgeBat' | null</t>
  </si>
  <si>
    <t>_ time: number  // Timestamp in video</t>
  </si>
  <si>
    <t>_ shot_index: number  // 1_based</t>
  </si>
  <si>
    <t>_ player_id: string  // FK to players</t>
  </si>
  <si>
    <t>_ serve_spin_family: 'under' | 'top' | 'no_spin' | 'side' | null</t>
  </si>
  <si>
    <t>_ serve_length: 'short' | 'half_long' | 'long' | null</t>
  </si>
  <si>
    <t>_ wing: 'FH' | 'BH' | null</t>
  </si>
  <si>
    <t>_ intent: 'defensive' | 'neutral' | 'aggressive' | null</t>
  </si>
  <si>
    <t>_ shot_result: 'good' | 'average' | 'in_net' | 'missed_long' | null</t>
  </si>
  <si>
    <t>_ shot_origin: 'left' | 'mid' | 'right' | null</t>
  </si>
  <si>
    <t>_ shot_destination: 'left' | 'mid' | 'right' | null</t>
  </si>
  <si>
    <t>_ is_rally_end: boolean</t>
  </si>
  <si>
    <t>_ rally_end_role: 'winner' | 'forced_error' | 'unforced_error' | 'none'</t>
  </si>
  <si>
    <t>_ inferred_pressure_level: 'low' | 'medium' | 'high' | null</t>
  </si>
  <si>
    <t>_ inferred_intent_quality: 'correct' | 'over_aggressive' | 'over_passive' | 'misread' | null</t>
  </si>
  <si>
    <t>_ inferred_player_position: 'wide_fh' | 'normal' | 'wide_bh' | 'very_wide_fh' | 'very_wide_bh' | null</t>
  </si>
  <si>
    <t>_ inferred_distance_from_table: 'close' | 'mid' | 'far' | null</t>
  </si>
  <si>
    <t>_ inferred_shot_type: string | null  // e.g., 'serve', 'fh_loop_vs_under'</t>
  </si>
  <si>
    <t>_ inferred_shot_confidence: 'low' | 'medium' | 'high' | null</t>
  </si>
  <si>
    <t>_ inferred_spin: string | null  // e.g., 'heavy_topspin'</t>
  </si>
  <si>
    <t>_ inferred_spin_confidence: 'low' | 'medium' | 'high' | null</t>
  </si>
  <si>
    <t>_ inferred_is_third_ball_attack: boolean</t>
  </si>
  <si>
    <t>_ inferred_is_receive_attack: boolean</t>
  </si>
  <si>
    <t>missed_left / left / middle / right / missed_right</t>
  </si>
  <si>
    <t>in_net / short / middle / long / missed_long</t>
  </si>
  <si>
    <t>Rally_End</t>
  </si>
  <si>
    <t>in_net / missed / winner / in_play</t>
  </si>
  <si>
    <t>shot_intent</t>
  </si>
  <si>
    <t>shot_quality</t>
  </si>
  <si>
    <t>incoming_difficulty</t>
  </si>
  <si>
    <t>recovery_quality</t>
  </si>
  <si>
    <t>contact_ball_position</t>
  </si>
  <si>
    <t xml:space="preserve"> _ contact_ball_position: left / middle / right //Objective</t>
  </si>
  <si>
    <t>contact_ball_depth</t>
  </si>
  <si>
    <t xml:space="preserve"> _ contact_ball_depth: close / mid / far //Objective</t>
  </si>
  <si>
    <t>contact_player_position</t>
  </si>
  <si>
    <t xml:space="preserve"> _ contact_player_position: left / middle / right //Objective</t>
  </si>
  <si>
    <t>contact_player_distance</t>
  </si>
  <si>
    <t xml:space="preserve"> _ contact_player_distance: close / mid / far //Objective</t>
  </si>
  <si>
    <t>contact_player_wing</t>
  </si>
  <si>
    <t xml:space="preserve"> _ contact_player_wing: backhand / forehand //Objective</t>
  </si>
  <si>
    <t>contact_player_shotType</t>
  </si>
  <si>
    <t xml:space="preserve"> _ contact_player_shotType: serve / push / dig / drive / loop / smash / chop / block / etc…... //Objective</t>
  </si>
  <si>
    <t>outgoing_ball_spin</t>
  </si>
  <si>
    <t xml:space="preserve"> _ outgoing_ball_spin: under / none / top //Objective</t>
  </si>
  <si>
    <t>outgoing_ball_speed</t>
  </si>
  <si>
    <t xml:space="preserve"> _ outgoing_ball_speed: slow / medium / fast //Objective</t>
  </si>
  <si>
    <t>outgoing_ball_arc</t>
  </si>
  <si>
    <t xml:space="preserve"> _ outgoing_ball_arc: low / medium / high //Objective</t>
  </si>
  <si>
    <t>outgoing_ball_destination</t>
  </si>
  <si>
    <t xml:space="preserve"> _ outgoing_ball_destination: missed_left / left / middle / right / missed_right //Objective</t>
  </si>
  <si>
    <t>outgoing_ball_depth</t>
  </si>
  <si>
    <t xml:space="preserve"> _ outgoing_ball_depth: in_net / short / middle / long / missed_long //Objective</t>
  </si>
  <si>
    <t>shot_error</t>
  </si>
  <si>
    <t xml:space="preserve"> _ shot_error: forced / unforced //Objective</t>
  </si>
  <si>
    <t xml:space="preserve"> _ shot_intent: defensive / neutral / aggressive / finish //subjective</t>
  </si>
  <si>
    <t xml:space="preserve"> _ shot_quality: poor / average / good / excellent //subjective</t>
  </si>
  <si>
    <t xml:space="preserve"> _ incoming_difficulty: easy / neutral / difficult //subjective</t>
  </si>
  <si>
    <t>RENAME: shot_wing           null or       backhand / forehand</t>
  </si>
  <si>
    <t>KEEP: shot_length           null or       in_net / short / middle / long / missed_long</t>
  </si>
  <si>
    <t>ADD: shot_error           null or       forced / unforced</t>
  </si>
  <si>
    <t>ADD: shot_quality           null or       poor / average / good / excellent</t>
  </si>
  <si>
    <t>ADD: incoming_difficulty           null or       easy / neutral / difficult</t>
  </si>
  <si>
    <t>KEEP: shot_origin</t>
  </si>
  <si>
    <t>KEEP: shot_target           null or       missed_left / left / middle / right / missed_right</t>
  </si>
  <si>
    <t>ADD: shot_contact_timing_inferred  null or       early / peak / late</t>
  </si>
  <si>
    <t>ADD: player_position_inferred  null or       left / middle / right</t>
  </si>
  <si>
    <t>RENAME: player_distance_inferred  null or       close / mid / far</t>
  </si>
  <si>
    <t>RENAME: shot_spin_inferred  null or       under / none / top</t>
  </si>
  <si>
    <t>ADD: shot_speed_inferred  null or       slow / medium / fast</t>
  </si>
  <si>
    <t>ADD: shot_arc_inferred  null or       low / medium / high</t>
  </si>
  <si>
    <t>RENAME: shot_type_inferred        null or       serve / push / dig / drive / loop / smash / chop / block / etc…...</t>
  </si>
  <si>
    <t>inferred_shot_type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</si>
</sst>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1" fillId="2" borderId="0" xfId="0" applyFont="1" applyFill="1"/>
    <xf numFmtId="0" fontId="0" fillId="0" borderId="0" xfId="0" applyFill="1"/>
    <xf numFmtId="0" fontId="1" fillId="0" borderId="0" xfId="0" applyFont="1" applyFill="1" applyAlignment="1">
      <alignment vertical="center"/>
    </xf>
    <xf numFmtId="0" fontId="3" fillId="2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0" xfId="0" applyFill="1" applyBorder="1"/>
    <xf numFmtId="0" fontId="1" fillId="0" borderId="0" xfId="0" applyFont="1" applyFill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3" borderId="9" xfId="0" applyFill="1" applyBorder="1"/>
    <xf numFmtId="0" fontId="0" fillId="4" borderId="9" xfId="0" applyFill="1" applyBorder="1"/>
    <xf numFmtId="0" fontId="1" fillId="4" borderId="0" xfId="0" applyFont="1" applyFill="1" applyBorder="1"/>
    <xf numFmtId="0" fontId="0" fillId="0" borderId="5" xfId="0" applyFont="1" applyBorder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67FF-85CD-456A-ABC1-ADD6028CDA71}">
  <dimension ref="A2:K11"/>
  <sheetViews>
    <sheetView workbookViewId="0">
      <selection activeCell="H7" sqref="H7"/>
    </sheetView>
  </sheetViews>
  <sheetFormatPr defaultColWidth="2.265625" defaultRowHeight="14.25" x14ac:dyDescent="0.45"/>
  <cols>
    <col min="1" max="3" width="1.86328125" customWidth="1"/>
    <col min="4" max="4" width="14.46484375" customWidth="1"/>
    <col min="5" max="7" width="1.86328125" customWidth="1"/>
    <col min="8" max="70" width="14.46484375" customWidth="1"/>
  </cols>
  <sheetData>
    <row r="2" spans="1:11" x14ac:dyDescent="0.45">
      <c r="A2" s="1" t="s">
        <v>193</v>
      </c>
    </row>
    <row r="4" spans="1:11" x14ac:dyDescent="0.45">
      <c r="A4" t="s">
        <v>179</v>
      </c>
      <c r="E4" t="s">
        <v>191</v>
      </c>
    </row>
    <row r="5" spans="1:11" x14ac:dyDescent="0.45">
      <c r="B5" t="s">
        <v>186</v>
      </c>
      <c r="F5" t="s">
        <v>192</v>
      </c>
    </row>
    <row r="6" spans="1:11" x14ac:dyDescent="0.45">
      <c r="C6" t="s">
        <v>185</v>
      </c>
      <c r="G6" t="s">
        <v>187</v>
      </c>
    </row>
    <row r="7" spans="1:11" x14ac:dyDescent="0.45">
      <c r="D7" s="18" t="s">
        <v>184</v>
      </c>
      <c r="K7" t="s">
        <v>194</v>
      </c>
    </row>
    <row r="8" spans="1:11" x14ac:dyDescent="0.45">
      <c r="D8" s="9" t="s">
        <v>183</v>
      </c>
    </row>
    <row r="9" spans="1:11" x14ac:dyDescent="0.45">
      <c r="C9" t="s">
        <v>180</v>
      </c>
      <c r="G9" t="s">
        <v>188</v>
      </c>
    </row>
    <row r="10" spans="1:11" x14ac:dyDescent="0.45">
      <c r="B10" t="s">
        <v>182</v>
      </c>
      <c r="F10" t="s">
        <v>189</v>
      </c>
    </row>
    <row r="11" spans="1:11" x14ac:dyDescent="0.45">
      <c r="A11" t="s">
        <v>181</v>
      </c>
      <c r="E11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30BD-8FAC-43B7-94D0-A4E593EBB1CC}">
  <dimension ref="A1:Q225"/>
  <sheetViews>
    <sheetView tabSelected="1" topLeftCell="A156" workbookViewId="0">
      <selection activeCell="E168" sqref="E168:E178"/>
    </sheetView>
  </sheetViews>
  <sheetFormatPr defaultRowHeight="14.25" x14ac:dyDescent="0.45"/>
  <cols>
    <col min="1" max="1" width="16.46484375" customWidth="1"/>
    <col min="2" max="2" width="17.46484375" bestFit="1" customWidth="1"/>
    <col min="3" max="3" width="15.1328125" bestFit="1" customWidth="1"/>
    <col min="4" max="4" width="23.6640625" customWidth="1"/>
    <col min="5" max="5" width="76.59765625" bestFit="1" customWidth="1"/>
    <col min="6" max="6" width="43.46484375" bestFit="1" customWidth="1"/>
    <col min="7" max="7" width="13.46484375" customWidth="1"/>
    <col min="8" max="8" width="16.46484375" bestFit="1" customWidth="1"/>
    <col min="9" max="9" width="54.73046875" bestFit="1" customWidth="1"/>
    <col min="10" max="10" width="31.3984375" bestFit="1" customWidth="1"/>
    <col min="11" max="11" width="15.73046875" bestFit="1" customWidth="1"/>
    <col min="12" max="12" width="24.265625" bestFit="1" customWidth="1"/>
    <col min="13" max="13" width="18.6640625" bestFit="1" customWidth="1"/>
    <col min="14" max="14" width="31.3984375" bestFit="1" customWidth="1"/>
    <col min="15" max="15" width="9" bestFit="1" customWidth="1"/>
    <col min="16" max="16" width="28.6640625" bestFit="1" customWidth="1"/>
    <col min="17" max="17" width="35.73046875" bestFit="1" customWidth="1"/>
  </cols>
  <sheetData>
    <row r="1" spans="1:16" ht="21" x14ac:dyDescent="0.65">
      <c r="A1" s="8" t="s">
        <v>173</v>
      </c>
      <c r="K1" t="s">
        <v>68</v>
      </c>
      <c r="O1" t="s">
        <v>68</v>
      </c>
      <c r="P1" t="s">
        <v>67</v>
      </c>
    </row>
    <row r="2" spans="1:16" ht="21" x14ac:dyDescent="0.65">
      <c r="A2" s="8" t="s">
        <v>174</v>
      </c>
    </row>
    <row r="3" spans="1:16" ht="21" x14ac:dyDescent="0.65">
      <c r="B3" s="8"/>
    </row>
    <row r="4" spans="1:16" s="1" customFormat="1" x14ac:dyDescent="0.45">
      <c r="A4" s="1" t="s">
        <v>171</v>
      </c>
      <c r="B4" s="1" t="s">
        <v>103</v>
      </c>
      <c r="C4" s="1" t="s">
        <v>91</v>
      </c>
      <c r="D4" s="1" t="s">
        <v>92</v>
      </c>
      <c r="E4" s="1" t="s">
        <v>98</v>
      </c>
      <c r="F4" s="1" t="s">
        <v>102</v>
      </c>
      <c r="I4" s="1" t="s">
        <v>136</v>
      </c>
      <c r="J4" s="1" t="s">
        <v>85</v>
      </c>
      <c r="K4" s="1" t="s">
        <v>76</v>
      </c>
      <c r="L4" s="1" t="s">
        <v>79</v>
      </c>
      <c r="M4" s="1" t="s">
        <v>3</v>
      </c>
      <c r="N4" s="1" t="s">
        <v>81</v>
      </c>
      <c r="O4" s="1" t="s">
        <v>2</v>
      </c>
      <c r="P4" s="1" t="s">
        <v>3</v>
      </c>
    </row>
    <row r="5" spans="1:16" x14ac:dyDescent="0.45">
      <c r="A5" t="s">
        <v>74</v>
      </c>
      <c r="B5" t="s">
        <v>172</v>
      </c>
      <c r="E5" t="s">
        <v>5</v>
      </c>
      <c r="J5" t="s">
        <v>70</v>
      </c>
      <c r="K5" t="s">
        <v>6</v>
      </c>
      <c r="L5" t="s">
        <v>78</v>
      </c>
      <c r="M5" t="s">
        <v>74</v>
      </c>
      <c r="N5" t="s">
        <v>72</v>
      </c>
      <c r="O5" t="s">
        <v>6</v>
      </c>
      <c r="P5" t="s">
        <v>7</v>
      </c>
    </row>
    <row r="6" spans="1:16" x14ac:dyDescent="0.45">
      <c r="A6" t="s">
        <v>74</v>
      </c>
      <c r="B6" t="s">
        <v>8</v>
      </c>
      <c r="J6" t="s">
        <v>70</v>
      </c>
      <c r="K6" t="s">
        <v>6</v>
      </c>
      <c r="L6" t="s">
        <v>7</v>
      </c>
      <c r="M6" t="s">
        <v>74</v>
      </c>
      <c r="N6" t="s">
        <v>72</v>
      </c>
      <c r="O6" t="s">
        <v>6</v>
      </c>
      <c r="P6" t="s">
        <v>7</v>
      </c>
    </row>
    <row r="7" spans="1:16" x14ac:dyDescent="0.45">
      <c r="A7" s="16" t="s">
        <v>77</v>
      </c>
      <c r="B7" s="16" t="s">
        <v>86</v>
      </c>
      <c r="C7" s="16"/>
      <c r="D7" s="9"/>
      <c r="E7" s="9"/>
      <c r="F7" s="9"/>
      <c r="G7" s="9"/>
      <c r="H7" s="9"/>
      <c r="J7" t="s">
        <v>87</v>
      </c>
      <c r="K7" t="s">
        <v>6</v>
      </c>
      <c r="L7" t="s">
        <v>78</v>
      </c>
      <c r="M7" t="s">
        <v>74</v>
      </c>
      <c r="N7" t="s">
        <v>72</v>
      </c>
      <c r="O7" t="s">
        <v>6</v>
      </c>
      <c r="P7" t="s">
        <v>7</v>
      </c>
    </row>
    <row r="8" spans="1:16" ht="14.65" thickBot="1" x14ac:dyDescent="0.5"/>
    <row r="9" spans="1:16" x14ac:dyDescent="0.45">
      <c r="A9" s="28" t="s">
        <v>74</v>
      </c>
      <c r="B9" s="29" t="s">
        <v>14</v>
      </c>
      <c r="C9" s="29" t="s">
        <v>89</v>
      </c>
      <c r="D9" s="29" t="s">
        <v>93</v>
      </c>
      <c r="E9" s="29" t="str">
        <f>C9&amp;"_"&amp;D9&amp;"_"&amp;B9</f>
        <v>incoming_ball_spin</v>
      </c>
      <c r="F9" s="30" t="s">
        <v>138</v>
      </c>
      <c r="G9" s="32"/>
      <c r="J9" t="s">
        <v>70</v>
      </c>
      <c r="K9" t="s">
        <v>7</v>
      </c>
      <c r="L9" t="s">
        <v>7</v>
      </c>
      <c r="M9" t="s">
        <v>74</v>
      </c>
      <c r="N9" t="s">
        <v>80</v>
      </c>
      <c r="O9" t="s">
        <v>15</v>
      </c>
      <c r="P9" t="s">
        <v>16</v>
      </c>
    </row>
    <row r="10" spans="1:16" x14ac:dyDescent="0.45">
      <c r="A10" s="31" t="s">
        <v>74</v>
      </c>
      <c r="B10" s="32" t="s">
        <v>17</v>
      </c>
      <c r="C10" s="32" t="s">
        <v>89</v>
      </c>
      <c r="D10" s="32" t="s">
        <v>93</v>
      </c>
      <c r="E10" s="32" t="str">
        <f>C10&amp;"_"&amp;D10&amp;"_"&amp;B10</f>
        <v>incoming_ball_speed</v>
      </c>
      <c r="F10" s="33" t="s">
        <v>139</v>
      </c>
      <c r="G10" s="32"/>
      <c r="J10" t="s">
        <v>70</v>
      </c>
      <c r="K10" t="s">
        <v>7</v>
      </c>
      <c r="L10" t="s">
        <v>7</v>
      </c>
      <c r="M10" t="s">
        <v>74</v>
      </c>
      <c r="N10" t="s">
        <v>80</v>
      </c>
      <c r="O10" t="s">
        <v>15</v>
      </c>
      <c r="P10" t="s">
        <v>18</v>
      </c>
    </row>
    <row r="11" spans="1:16" x14ac:dyDescent="0.45">
      <c r="A11" s="31" t="s">
        <v>74</v>
      </c>
      <c r="B11" s="32" t="s">
        <v>97</v>
      </c>
      <c r="C11" s="32" t="s">
        <v>89</v>
      </c>
      <c r="D11" s="32" t="s">
        <v>93</v>
      </c>
      <c r="E11" s="32" t="str">
        <f>C11&amp;"_"&amp;D11&amp;"_"&amp;B11</f>
        <v>incoming_ball_arc</v>
      </c>
      <c r="F11" s="33" t="s">
        <v>140</v>
      </c>
      <c r="G11" s="32"/>
      <c r="J11" t="s">
        <v>70</v>
      </c>
      <c r="K11" t="s">
        <v>7</v>
      </c>
      <c r="L11" t="s">
        <v>7</v>
      </c>
      <c r="M11" t="s">
        <v>74</v>
      </c>
      <c r="N11" t="s">
        <v>80</v>
      </c>
      <c r="O11" t="s">
        <v>15</v>
      </c>
      <c r="P11" t="s">
        <v>20</v>
      </c>
    </row>
    <row r="12" spans="1:16" x14ac:dyDescent="0.45">
      <c r="A12" s="31" t="s">
        <v>74</v>
      </c>
      <c r="B12" s="32" t="s">
        <v>88</v>
      </c>
      <c r="C12" s="32" t="s">
        <v>89</v>
      </c>
      <c r="D12" s="32" t="s">
        <v>93</v>
      </c>
      <c r="E12" s="32" t="str">
        <f>C12&amp;"_"&amp;D12&amp;"_"&amp;B12</f>
        <v>incoming_ball_destination</v>
      </c>
      <c r="F12" s="33" t="s">
        <v>141</v>
      </c>
      <c r="G12" s="32"/>
      <c r="H12" s="32" t="s">
        <v>195</v>
      </c>
      <c r="J12" t="s">
        <v>70</v>
      </c>
      <c r="K12" t="s">
        <v>7</v>
      </c>
      <c r="L12" t="s">
        <v>7</v>
      </c>
      <c r="M12" t="s">
        <v>74</v>
      </c>
      <c r="N12" t="s">
        <v>80</v>
      </c>
      <c r="O12" t="s">
        <v>15</v>
      </c>
      <c r="P12" t="s">
        <v>22</v>
      </c>
    </row>
    <row r="13" spans="1:16" x14ac:dyDescent="0.45">
      <c r="A13" s="31" t="s">
        <v>74</v>
      </c>
      <c r="B13" s="32" t="s">
        <v>38</v>
      </c>
      <c r="C13" s="32" t="s">
        <v>89</v>
      </c>
      <c r="D13" s="32" t="s">
        <v>93</v>
      </c>
      <c r="E13" s="32" t="str">
        <f>C13&amp;"_"&amp;D13&amp;"_"&amp;B13</f>
        <v>incoming_ball_depth</v>
      </c>
      <c r="F13" s="33" t="s">
        <v>142</v>
      </c>
      <c r="G13" s="32"/>
      <c r="J13" t="s">
        <v>70</v>
      </c>
      <c r="K13" t="s">
        <v>7</v>
      </c>
      <c r="L13" t="s">
        <v>7</v>
      </c>
      <c r="M13" t="s">
        <v>74</v>
      </c>
      <c r="N13" t="s">
        <v>80</v>
      </c>
      <c r="O13" t="s">
        <v>15</v>
      </c>
      <c r="P13" t="s">
        <v>22</v>
      </c>
    </row>
    <row r="14" spans="1:16" x14ac:dyDescent="0.45">
      <c r="A14" s="31" t="s">
        <v>74</v>
      </c>
      <c r="B14" s="32" t="s">
        <v>24</v>
      </c>
      <c r="C14" s="32" t="s">
        <v>89</v>
      </c>
      <c r="D14" s="32" t="s">
        <v>94</v>
      </c>
      <c r="E14" s="32" t="str">
        <f>C14&amp;"_"&amp;D14&amp;"_"&amp;B14</f>
        <v>incoming_player_position</v>
      </c>
      <c r="F14" s="33" t="s">
        <v>141</v>
      </c>
      <c r="G14" s="32"/>
      <c r="J14" t="s">
        <v>70</v>
      </c>
      <c r="K14" t="s">
        <v>7</v>
      </c>
      <c r="L14" t="s">
        <v>7</v>
      </c>
      <c r="M14" t="s">
        <v>74</v>
      </c>
      <c r="N14" t="s">
        <v>82</v>
      </c>
      <c r="O14" t="s">
        <v>15</v>
      </c>
      <c r="P14" t="s">
        <v>25</v>
      </c>
    </row>
    <row r="15" spans="1:16" ht="14.65" thickBot="1" x14ac:dyDescent="0.5">
      <c r="A15" s="34" t="s">
        <v>74</v>
      </c>
      <c r="B15" s="35" t="s">
        <v>96</v>
      </c>
      <c r="C15" s="35" t="s">
        <v>89</v>
      </c>
      <c r="D15" s="35" t="s">
        <v>94</v>
      </c>
      <c r="E15" s="35" t="str">
        <f>C15&amp;"_"&amp;D15&amp;"_"&amp;B15</f>
        <v>incoming_player_distanceFromTable</v>
      </c>
      <c r="F15" s="36" t="s">
        <v>143</v>
      </c>
      <c r="G15" s="32"/>
      <c r="J15" t="s">
        <v>70</v>
      </c>
      <c r="K15" t="s">
        <v>7</v>
      </c>
      <c r="L15" t="s">
        <v>7</v>
      </c>
      <c r="M15" t="s">
        <v>74</v>
      </c>
      <c r="N15" t="s">
        <v>82</v>
      </c>
      <c r="O15" t="s">
        <v>15</v>
      </c>
      <c r="P15" t="s">
        <v>25</v>
      </c>
    </row>
    <row r="16" spans="1:16" x14ac:dyDescent="0.45">
      <c r="A16" s="19" t="s">
        <v>74</v>
      </c>
      <c r="B16" s="20" t="s">
        <v>24</v>
      </c>
      <c r="C16" s="20" t="s">
        <v>99</v>
      </c>
      <c r="D16" s="20" t="s">
        <v>94</v>
      </c>
      <c r="E16" s="20" t="str">
        <f>C16&amp;"_"&amp;D16&amp;"_"&amp;B16</f>
        <v>contact_player_position</v>
      </c>
      <c r="F16" s="21" t="s">
        <v>141</v>
      </c>
      <c r="G16" s="23"/>
      <c r="J16" t="s">
        <v>70</v>
      </c>
      <c r="K16" t="s">
        <v>7</v>
      </c>
      <c r="L16" t="s">
        <v>7</v>
      </c>
      <c r="M16" t="s">
        <v>74</v>
      </c>
      <c r="N16" t="s">
        <v>83</v>
      </c>
      <c r="O16" t="s">
        <v>15</v>
      </c>
      <c r="P16" t="s">
        <v>25</v>
      </c>
    </row>
    <row r="17" spans="1:16" x14ac:dyDescent="0.45">
      <c r="A17" s="22" t="s">
        <v>74</v>
      </c>
      <c r="B17" s="23" t="s">
        <v>96</v>
      </c>
      <c r="C17" s="23" t="s">
        <v>99</v>
      </c>
      <c r="D17" s="23" t="s">
        <v>94</v>
      </c>
      <c r="E17" s="23" t="str">
        <f>C17&amp;"_"&amp;D17&amp;"_"&amp;B17</f>
        <v>contact_player_distanceFromTable</v>
      </c>
      <c r="F17" s="24" t="s">
        <v>143</v>
      </c>
      <c r="G17" s="23"/>
      <c r="J17" t="s">
        <v>70</v>
      </c>
      <c r="K17" t="s">
        <v>7</v>
      </c>
      <c r="L17" t="s">
        <v>7</v>
      </c>
      <c r="M17" t="s">
        <v>74</v>
      </c>
      <c r="N17" t="s">
        <v>83</v>
      </c>
      <c r="O17" t="s">
        <v>15</v>
      </c>
      <c r="P17" t="s">
        <v>25</v>
      </c>
    </row>
    <row r="18" spans="1:16" x14ac:dyDescent="0.45">
      <c r="A18" s="22" t="s">
        <v>74</v>
      </c>
      <c r="B18" s="23" t="s">
        <v>27</v>
      </c>
      <c r="C18" s="23" t="s">
        <v>99</v>
      </c>
      <c r="D18" s="23" t="s">
        <v>94</v>
      </c>
      <c r="E18" s="23" t="str">
        <f>C18&amp;"_"&amp;D18&amp;"_"&amp;B18</f>
        <v>contact_player_wing</v>
      </c>
      <c r="F18" s="24" t="s">
        <v>144</v>
      </c>
      <c r="G18" s="23"/>
      <c r="J18" t="s">
        <v>70</v>
      </c>
      <c r="L18" t="s">
        <v>84</v>
      </c>
      <c r="O18" t="s">
        <v>6</v>
      </c>
      <c r="P18" t="s">
        <v>7</v>
      </c>
    </row>
    <row r="19" spans="1:16" x14ac:dyDescent="0.45">
      <c r="A19" s="22" t="s">
        <v>74</v>
      </c>
      <c r="B19" s="23" t="s">
        <v>28</v>
      </c>
      <c r="C19" s="23" t="s">
        <v>99</v>
      </c>
      <c r="D19" s="23" t="s">
        <v>94</v>
      </c>
      <c r="E19" s="23" t="str">
        <f>C19&amp;"_"&amp;D19&amp;"_"&amp;B19</f>
        <v>contact_player_shotType</v>
      </c>
      <c r="F19" s="24" t="s">
        <v>145</v>
      </c>
      <c r="G19" s="23"/>
      <c r="J19" t="s">
        <v>70</v>
      </c>
      <c r="L19" t="s">
        <v>7</v>
      </c>
      <c r="N19" t="str">
        <f>B5&amp;", for serve, other data"</f>
        <v>shot_number, for serve, other data</v>
      </c>
      <c r="O19" t="s">
        <v>15</v>
      </c>
      <c r="P19" t="s">
        <v>29</v>
      </c>
    </row>
    <row r="20" spans="1:16" x14ac:dyDescent="0.45">
      <c r="A20" s="22" t="s">
        <v>74</v>
      </c>
      <c r="B20" s="23" t="s">
        <v>14</v>
      </c>
      <c r="C20" s="23" t="s">
        <v>90</v>
      </c>
      <c r="D20" s="23" t="s">
        <v>93</v>
      </c>
      <c r="E20" s="23" t="str">
        <f>C20&amp;"_"&amp;D20&amp;"_"&amp;B20</f>
        <v>outgoing_ball_spin</v>
      </c>
      <c r="F20" s="24" t="s">
        <v>138</v>
      </c>
      <c r="G20" s="23"/>
      <c r="I20" t="s">
        <v>74</v>
      </c>
      <c r="J20" t="s">
        <v>70</v>
      </c>
      <c r="L20" t="s">
        <v>7</v>
      </c>
      <c r="O20" t="s">
        <v>15</v>
      </c>
      <c r="P20" t="s">
        <v>35</v>
      </c>
    </row>
    <row r="21" spans="1:16" x14ac:dyDescent="0.45">
      <c r="A21" s="22" t="s">
        <v>74</v>
      </c>
      <c r="B21" s="23" t="s">
        <v>17</v>
      </c>
      <c r="C21" s="23" t="s">
        <v>90</v>
      </c>
      <c r="D21" s="23" t="s">
        <v>93</v>
      </c>
      <c r="E21" s="23" t="str">
        <f>C21&amp;"_"&amp;D21&amp;"_"&amp;B21</f>
        <v>outgoing_ball_speed</v>
      </c>
      <c r="F21" s="24" t="s">
        <v>139</v>
      </c>
      <c r="G21" s="23"/>
      <c r="H21" s="38" t="s">
        <v>196</v>
      </c>
      <c r="I21" t="s">
        <v>74</v>
      </c>
      <c r="J21" t="s">
        <v>75</v>
      </c>
      <c r="O21" t="s">
        <v>6</v>
      </c>
      <c r="P21" t="s">
        <v>7</v>
      </c>
    </row>
    <row r="22" spans="1:16" x14ac:dyDescent="0.45">
      <c r="A22" s="22" t="s">
        <v>74</v>
      </c>
      <c r="B22" s="23" t="s">
        <v>97</v>
      </c>
      <c r="C22" s="23" t="s">
        <v>90</v>
      </c>
      <c r="D22" s="23" t="s">
        <v>93</v>
      </c>
      <c r="E22" s="23" t="str">
        <f>C22&amp;"_"&amp;D22&amp;"_"&amp;B22</f>
        <v>outgoing_ball_arc</v>
      </c>
      <c r="F22" s="24" t="s">
        <v>140</v>
      </c>
      <c r="G22" s="23"/>
      <c r="I22" t="s">
        <v>74</v>
      </c>
      <c r="J22" t="s">
        <v>75</v>
      </c>
      <c r="O22" t="s">
        <v>6</v>
      </c>
      <c r="P22" t="s">
        <v>7</v>
      </c>
    </row>
    <row r="23" spans="1:16" x14ac:dyDescent="0.45">
      <c r="A23" s="39" t="s">
        <v>74</v>
      </c>
      <c r="B23" s="40" t="s">
        <v>88</v>
      </c>
      <c r="C23" s="40" t="s">
        <v>90</v>
      </c>
      <c r="D23" s="40" t="s">
        <v>93</v>
      </c>
      <c r="E23" s="40" t="str">
        <f>C23&amp;"_"&amp;D23&amp;"_"&amp;B23</f>
        <v>outgoing_ball_destination</v>
      </c>
      <c r="F23" s="41" t="s">
        <v>231</v>
      </c>
      <c r="G23" s="40"/>
      <c r="I23" s="1" t="s">
        <v>74</v>
      </c>
      <c r="L23" t="s">
        <v>74</v>
      </c>
      <c r="O23" t="s">
        <v>6</v>
      </c>
      <c r="P23" t="s">
        <v>7</v>
      </c>
    </row>
    <row r="24" spans="1:16" x14ac:dyDescent="0.45">
      <c r="A24" s="39" t="s">
        <v>74</v>
      </c>
      <c r="B24" s="40" t="s">
        <v>38</v>
      </c>
      <c r="C24" s="40" t="s">
        <v>90</v>
      </c>
      <c r="D24" s="40" t="s">
        <v>93</v>
      </c>
      <c r="E24" s="40" t="str">
        <f>C24&amp;"_"&amp;D24&amp;"_"&amp;B24</f>
        <v>outgoing_ball_depth</v>
      </c>
      <c r="F24" s="41" t="s">
        <v>232</v>
      </c>
      <c r="G24" s="40"/>
      <c r="I24" t="s">
        <v>77</v>
      </c>
      <c r="J24" t="s">
        <v>75</v>
      </c>
      <c r="O24" t="s">
        <v>6</v>
      </c>
      <c r="P24" t="s">
        <v>7</v>
      </c>
    </row>
    <row r="25" spans="1:16" x14ac:dyDescent="0.45">
      <c r="A25" s="22" t="s">
        <v>74</v>
      </c>
      <c r="B25" s="23" t="s">
        <v>24</v>
      </c>
      <c r="C25" s="23" t="s">
        <v>90</v>
      </c>
      <c r="D25" s="23" t="s">
        <v>94</v>
      </c>
      <c r="E25" s="23" t="str">
        <f>C25&amp;"_"&amp;D25&amp;"_"&amp;B25</f>
        <v>outgoing_player_position</v>
      </c>
      <c r="F25" s="24" t="s">
        <v>141</v>
      </c>
      <c r="G25" s="23"/>
      <c r="I25" t="s">
        <v>77</v>
      </c>
      <c r="J25" t="s">
        <v>71</v>
      </c>
      <c r="O25" t="s">
        <v>15</v>
      </c>
      <c r="P25" t="s">
        <v>41</v>
      </c>
    </row>
    <row r="26" spans="1:16" ht="14.65" thickBot="1" x14ac:dyDescent="0.5">
      <c r="A26" s="25" t="s">
        <v>74</v>
      </c>
      <c r="B26" s="26" t="s">
        <v>96</v>
      </c>
      <c r="C26" s="26" t="s">
        <v>90</v>
      </c>
      <c r="D26" s="26" t="s">
        <v>94</v>
      </c>
      <c r="E26" s="26" t="str">
        <f>C26&amp;"_"&amp;D26&amp;"_"&amp;B26</f>
        <v>outgoing_player_distanceFromTable</v>
      </c>
      <c r="F26" s="27" t="s">
        <v>143</v>
      </c>
      <c r="G26" s="23"/>
      <c r="I26" t="s">
        <v>77</v>
      </c>
    </row>
    <row r="28" spans="1:16" x14ac:dyDescent="0.45">
      <c r="A28" s="9" t="s">
        <v>77</v>
      </c>
      <c r="B28" s="13" t="s">
        <v>43</v>
      </c>
      <c r="C28" s="9" t="s">
        <v>170</v>
      </c>
      <c r="D28" s="9"/>
      <c r="E28" s="9" t="s">
        <v>233</v>
      </c>
      <c r="F28" s="9" t="s">
        <v>234</v>
      </c>
      <c r="G28" s="9"/>
      <c r="H28" s="9"/>
      <c r="O28" t="s">
        <v>44</v>
      </c>
      <c r="P28" t="s">
        <v>45</v>
      </c>
    </row>
    <row r="29" spans="1:16" x14ac:dyDescent="0.45">
      <c r="A29" s="14" t="s">
        <v>74</v>
      </c>
      <c r="B29" s="14" t="s">
        <v>46</v>
      </c>
      <c r="C29" s="14"/>
      <c r="D29" s="14"/>
      <c r="E29" s="14"/>
      <c r="F29" s="15" t="s">
        <v>175</v>
      </c>
      <c r="G29" s="15"/>
      <c r="H29" s="15"/>
      <c r="I29" s="3" t="s">
        <v>177</v>
      </c>
      <c r="J29" s="3" t="s">
        <v>58</v>
      </c>
      <c r="O29" t="s">
        <v>44</v>
      </c>
      <c r="P29" t="s">
        <v>47</v>
      </c>
    </row>
    <row r="30" spans="1:16" x14ac:dyDescent="0.45">
      <c r="A30" s="14" t="s">
        <v>74</v>
      </c>
      <c r="B30" s="14" t="s">
        <v>48</v>
      </c>
      <c r="C30" s="14"/>
      <c r="D30" s="14"/>
      <c r="E30" s="14"/>
      <c r="F30" s="17" t="s">
        <v>175</v>
      </c>
      <c r="G30" s="17"/>
      <c r="H30" s="17"/>
      <c r="O30" t="s">
        <v>44</v>
      </c>
      <c r="P30" t="s">
        <v>49</v>
      </c>
    </row>
    <row r="31" spans="1:16" x14ac:dyDescent="0.45">
      <c r="A31" s="14" t="s">
        <v>74</v>
      </c>
      <c r="B31" s="14" t="s">
        <v>176</v>
      </c>
      <c r="F31" s="17" t="s">
        <v>175</v>
      </c>
      <c r="G31" s="17"/>
      <c r="H31" s="17"/>
    </row>
    <row r="32" spans="1:16" x14ac:dyDescent="0.45">
      <c r="B32" s="1"/>
      <c r="D32" s="5"/>
    </row>
    <row r="33" spans="1:17" s="1" customFormat="1" x14ac:dyDescent="0.45">
      <c r="B33" s="2" t="s">
        <v>100</v>
      </c>
      <c r="C33" s="2" t="s">
        <v>101</v>
      </c>
      <c r="D33" s="6" t="s">
        <v>51</v>
      </c>
      <c r="Q33" s="1" t="s">
        <v>51</v>
      </c>
    </row>
    <row r="34" spans="1:17" x14ac:dyDescent="0.45">
      <c r="A34" t="s">
        <v>74</v>
      </c>
      <c r="B34" s="3" t="s">
        <v>52</v>
      </c>
      <c r="C34" s="4" t="s">
        <v>53</v>
      </c>
      <c r="D34" s="7"/>
      <c r="F34" s="7" t="s">
        <v>54</v>
      </c>
      <c r="G34" s="7"/>
      <c r="H34" s="7"/>
      <c r="Q34" t="s">
        <v>54</v>
      </c>
    </row>
    <row r="35" spans="1:17" x14ac:dyDescent="0.45">
      <c r="A35" t="s">
        <v>74</v>
      </c>
      <c r="B35" s="3" t="s">
        <v>55</v>
      </c>
      <c r="C35" s="4" t="s">
        <v>56</v>
      </c>
      <c r="D35" s="7"/>
      <c r="F35" s="7" t="s">
        <v>57</v>
      </c>
      <c r="G35" s="7"/>
      <c r="H35" s="7"/>
      <c r="I35" t="s">
        <v>235</v>
      </c>
      <c r="J35" s="1" t="s">
        <v>133</v>
      </c>
      <c r="K35" t="s">
        <v>134</v>
      </c>
      <c r="Q35" t="s">
        <v>57</v>
      </c>
    </row>
    <row r="36" spans="1:17" x14ac:dyDescent="0.45">
      <c r="A36" s="9" t="s">
        <v>77</v>
      </c>
      <c r="B36" s="10" t="s">
        <v>58</v>
      </c>
      <c r="C36" s="11" t="s">
        <v>59</v>
      </c>
      <c r="D36" s="12"/>
      <c r="E36" s="9"/>
      <c r="F36" s="12" t="s">
        <v>236</v>
      </c>
      <c r="G36" s="12"/>
      <c r="H36" s="12"/>
      <c r="K36" t="s">
        <v>135</v>
      </c>
      <c r="Q36" t="s">
        <v>236</v>
      </c>
    </row>
    <row r="37" spans="1:17" x14ac:dyDescent="0.45">
      <c r="A37" t="s">
        <v>74</v>
      </c>
      <c r="B37" s="3" t="s">
        <v>61</v>
      </c>
      <c r="C37" s="4" t="s">
        <v>62</v>
      </c>
      <c r="D37" s="7"/>
      <c r="F37" s="7" t="s">
        <v>63</v>
      </c>
      <c r="G37" s="7"/>
      <c r="H37" s="7"/>
      <c r="Q37" t="s">
        <v>63</v>
      </c>
    </row>
    <row r="38" spans="1:17" x14ac:dyDescent="0.45">
      <c r="A38" t="s">
        <v>74</v>
      </c>
      <c r="B38" s="3" t="s">
        <v>64</v>
      </c>
      <c r="C38" s="4" t="s">
        <v>65</v>
      </c>
      <c r="D38" s="7"/>
      <c r="F38" s="7" t="s">
        <v>66</v>
      </c>
      <c r="G38" s="7"/>
      <c r="H38" s="7"/>
      <c r="Q38" t="s">
        <v>66</v>
      </c>
    </row>
    <row r="39" spans="1:17" x14ac:dyDescent="0.45">
      <c r="A39" t="s">
        <v>74</v>
      </c>
      <c r="B39" s="3" t="s">
        <v>104</v>
      </c>
      <c r="D39" s="5"/>
    </row>
    <row r="40" spans="1:17" x14ac:dyDescent="0.45">
      <c r="D40" s="5"/>
    </row>
    <row r="42" spans="1:17" x14ac:dyDescent="0.45">
      <c r="B42" t="s">
        <v>237</v>
      </c>
      <c r="F42" s="1" t="s">
        <v>169</v>
      </c>
      <c r="G42" s="1"/>
    </row>
    <row r="43" spans="1:17" x14ac:dyDescent="0.45">
      <c r="B43" t="s">
        <v>238</v>
      </c>
      <c r="F43" s="1" t="s">
        <v>239</v>
      </c>
      <c r="G43" s="1"/>
      <c r="H43" s="1"/>
    </row>
    <row r="44" spans="1:17" x14ac:dyDescent="0.45">
      <c r="B44" t="s">
        <v>240</v>
      </c>
      <c r="F44" s="1" t="s">
        <v>241</v>
      </c>
      <c r="G44" s="1"/>
      <c r="H44" s="1"/>
    </row>
    <row r="45" spans="1:17" x14ac:dyDescent="0.45">
      <c r="B45" t="s">
        <v>242</v>
      </c>
    </row>
    <row r="46" spans="1:17" x14ac:dyDescent="0.45">
      <c r="B46" t="s">
        <v>243</v>
      </c>
    </row>
    <row r="47" spans="1:17" x14ac:dyDescent="0.45">
      <c r="B47" t="s">
        <v>244</v>
      </c>
    </row>
    <row r="49" spans="2:2" x14ac:dyDescent="0.45">
      <c r="B49" t="s">
        <v>105</v>
      </c>
    </row>
    <row r="50" spans="2:2" x14ac:dyDescent="0.45">
      <c r="B50" t="s">
        <v>245</v>
      </c>
    </row>
    <row r="51" spans="2:2" x14ac:dyDescent="0.45">
      <c r="B51" t="s">
        <v>246</v>
      </c>
    </row>
    <row r="52" spans="2:2" x14ac:dyDescent="0.45">
      <c r="B52" t="s">
        <v>247</v>
      </c>
    </row>
    <row r="53" spans="2:2" x14ac:dyDescent="0.45">
      <c r="B53" t="s">
        <v>248</v>
      </c>
    </row>
    <row r="54" spans="2:2" x14ac:dyDescent="0.45">
      <c r="B54" t="s">
        <v>249</v>
      </c>
    </row>
    <row r="56" spans="2:2" x14ac:dyDescent="0.45">
      <c r="B56" t="s">
        <v>106</v>
      </c>
    </row>
    <row r="57" spans="2:2" x14ac:dyDescent="0.45">
      <c r="B57" t="s">
        <v>250</v>
      </c>
    </row>
    <row r="58" spans="2:2" x14ac:dyDescent="0.45">
      <c r="B58" t="s">
        <v>251</v>
      </c>
    </row>
    <row r="59" spans="2:2" x14ac:dyDescent="0.45">
      <c r="B59" t="s">
        <v>252</v>
      </c>
    </row>
    <row r="60" spans="2:2" x14ac:dyDescent="0.45">
      <c r="B60" t="s">
        <v>253</v>
      </c>
    </row>
    <row r="62" spans="2:2" x14ac:dyDescent="0.45">
      <c r="B62" t="s">
        <v>107</v>
      </c>
    </row>
    <row r="63" spans="2:2" x14ac:dyDescent="0.45">
      <c r="B63" t="s">
        <v>254</v>
      </c>
    </row>
    <row r="64" spans="2:2" x14ac:dyDescent="0.45">
      <c r="B64" t="s">
        <v>255</v>
      </c>
    </row>
    <row r="65" spans="1:8" x14ac:dyDescent="0.45">
      <c r="B65" t="s">
        <v>256</v>
      </c>
    </row>
    <row r="66" spans="1:8" x14ac:dyDescent="0.45">
      <c r="B66" t="s">
        <v>257</v>
      </c>
    </row>
    <row r="67" spans="1:8" x14ac:dyDescent="0.45">
      <c r="B67" t="s">
        <v>258</v>
      </c>
    </row>
    <row r="68" spans="1:8" x14ac:dyDescent="0.45">
      <c r="B68" t="s">
        <v>259</v>
      </c>
    </row>
    <row r="69" spans="1:8" x14ac:dyDescent="0.45">
      <c r="B69" t="s">
        <v>260</v>
      </c>
    </row>
    <row r="70" spans="1:8" x14ac:dyDescent="0.45">
      <c r="B70" t="s">
        <v>261</v>
      </c>
    </row>
    <row r="71" spans="1:8" x14ac:dyDescent="0.45">
      <c r="B71" t="s">
        <v>262</v>
      </c>
    </row>
    <row r="72" spans="1:8" x14ac:dyDescent="0.45">
      <c r="B72" t="s">
        <v>263</v>
      </c>
    </row>
    <row r="78" spans="1:8" ht="14.65" thickBot="1" x14ac:dyDescent="0.5">
      <c r="H78" s="1" t="s">
        <v>177</v>
      </c>
    </row>
    <row r="79" spans="1:8" x14ac:dyDescent="0.45">
      <c r="A79" s="28" t="s">
        <v>74</v>
      </c>
      <c r="B79" s="29" t="s">
        <v>14</v>
      </c>
      <c r="C79" s="29" t="s">
        <v>89</v>
      </c>
      <c r="D79" s="29" t="s">
        <v>93</v>
      </c>
      <c r="E79" s="29" t="str">
        <f>C79&amp;"_"&amp;D79&amp;"_"&amp;B79</f>
        <v>incoming_ball_spin</v>
      </c>
      <c r="F79" s="30" t="s">
        <v>138</v>
      </c>
      <c r="G79" s="32"/>
      <c r="H79" s="32" t="s">
        <v>74</v>
      </c>
    </row>
    <row r="80" spans="1:8" x14ac:dyDescent="0.45">
      <c r="A80" s="31" t="s">
        <v>74</v>
      </c>
      <c r="B80" s="32" t="s">
        <v>17</v>
      </c>
      <c r="C80" s="32" t="s">
        <v>89</v>
      </c>
      <c r="D80" s="32" t="s">
        <v>93</v>
      </c>
      <c r="E80" s="32" t="str">
        <f>C80&amp;"_"&amp;D80&amp;"_"&amp;B80</f>
        <v>incoming_ball_speed</v>
      </c>
      <c r="F80" s="33" t="s">
        <v>139</v>
      </c>
      <c r="G80" s="32"/>
      <c r="H80" s="32" t="s">
        <v>74</v>
      </c>
    </row>
    <row r="81" spans="1:8" x14ac:dyDescent="0.45">
      <c r="A81" s="31" t="s">
        <v>74</v>
      </c>
      <c r="B81" s="32" t="s">
        <v>97</v>
      </c>
      <c r="C81" s="32" t="s">
        <v>89</v>
      </c>
      <c r="D81" s="32" t="s">
        <v>93</v>
      </c>
      <c r="E81" s="32" t="str">
        <f>C81&amp;"_"&amp;D81&amp;"_"&amp;B81</f>
        <v>incoming_ball_arc</v>
      </c>
      <c r="F81" s="33" t="s">
        <v>140</v>
      </c>
      <c r="G81" s="32"/>
      <c r="H81" s="32" t="s">
        <v>74</v>
      </c>
    </row>
    <row r="82" spans="1:8" x14ac:dyDescent="0.45">
      <c r="A82" s="31" t="s">
        <v>74</v>
      </c>
      <c r="B82" s="32" t="s">
        <v>88</v>
      </c>
      <c r="C82" s="32" t="s">
        <v>89</v>
      </c>
      <c r="D82" s="32" t="s">
        <v>93</v>
      </c>
      <c r="E82" s="32" t="str">
        <f>C82&amp;"_"&amp;D82&amp;"_"&amp;B82</f>
        <v>incoming_ball_destination</v>
      </c>
      <c r="F82" s="33" t="s">
        <v>141</v>
      </c>
      <c r="G82" s="32"/>
      <c r="H82" s="32" t="s">
        <v>74</v>
      </c>
    </row>
    <row r="83" spans="1:8" x14ac:dyDescent="0.45">
      <c r="A83" s="31" t="s">
        <v>74</v>
      </c>
      <c r="B83" s="32" t="s">
        <v>38</v>
      </c>
      <c r="C83" s="32" t="s">
        <v>89</v>
      </c>
      <c r="D83" s="32" t="s">
        <v>93</v>
      </c>
      <c r="E83" s="32" t="str">
        <f>C83&amp;"_"&amp;D83&amp;"_"&amp;B83</f>
        <v>incoming_ball_depth</v>
      </c>
      <c r="F83" s="33" t="s">
        <v>142</v>
      </c>
      <c r="G83" s="32"/>
      <c r="H83" s="32" t="s">
        <v>74</v>
      </c>
    </row>
    <row r="84" spans="1:8" x14ac:dyDescent="0.45">
      <c r="A84" s="31" t="s">
        <v>74</v>
      </c>
      <c r="B84" s="32" t="s">
        <v>24</v>
      </c>
      <c r="C84" s="32" t="s">
        <v>89</v>
      </c>
      <c r="D84" s="32" t="s">
        <v>94</v>
      </c>
      <c r="E84" s="32" t="str">
        <f>C84&amp;"_"&amp;D84&amp;"_"&amp;B84</f>
        <v>incoming_player_position</v>
      </c>
      <c r="F84" s="33" t="s">
        <v>141</v>
      </c>
      <c r="G84" s="32"/>
      <c r="H84" s="32" t="s">
        <v>74</v>
      </c>
    </row>
    <row r="85" spans="1:8" ht="14.65" thickBot="1" x14ac:dyDescent="0.5">
      <c r="A85" s="34" t="s">
        <v>74</v>
      </c>
      <c r="B85" s="35" t="s">
        <v>96</v>
      </c>
      <c r="C85" s="35" t="s">
        <v>89</v>
      </c>
      <c r="D85" s="35" t="s">
        <v>94</v>
      </c>
      <c r="E85" s="35" t="str">
        <f>C85&amp;"_"&amp;D85&amp;"_"&amp;B85</f>
        <v>incoming_player_distanceFromTable</v>
      </c>
      <c r="F85" s="36" t="s">
        <v>143</v>
      </c>
      <c r="G85" s="32"/>
      <c r="H85" s="32" t="s">
        <v>74</v>
      </c>
    </row>
    <row r="86" spans="1:8" x14ac:dyDescent="0.45">
      <c r="A86" s="31"/>
      <c r="B86" s="32"/>
      <c r="C86" s="32"/>
      <c r="D86" s="32"/>
      <c r="E86" s="32"/>
      <c r="F86" s="33"/>
      <c r="G86" s="32"/>
      <c r="H86" s="32"/>
    </row>
    <row r="87" spans="1:8" x14ac:dyDescent="0.45">
      <c r="A87" s="31"/>
      <c r="B87" s="32"/>
      <c r="C87" s="32"/>
      <c r="D87" s="32"/>
      <c r="E87" s="32"/>
      <c r="F87" s="45"/>
      <c r="G87" s="32"/>
      <c r="H87" s="32"/>
    </row>
    <row r="88" spans="1:8" x14ac:dyDescent="0.45">
      <c r="A88" s="43" t="s">
        <v>74</v>
      </c>
      <c r="B88" s="43" t="s">
        <v>24</v>
      </c>
      <c r="C88" s="43" t="s">
        <v>99</v>
      </c>
      <c r="D88" s="43" t="s">
        <v>93</v>
      </c>
      <c r="E88" s="43" t="str">
        <f>C88&amp;"_"&amp;D88&amp;"_"&amp;B88</f>
        <v>contact_ball_position</v>
      </c>
      <c r="F88" s="46" t="s">
        <v>141</v>
      </c>
      <c r="G88" s="43"/>
      <c r="H88" s="32"/>
    </row>
    <row r="89" spans="1:8" x14ac:dyDescent="0.45">
      <c r="A89" s="43" t="s">
        <v>74</v>
      </c>
      <c r="B89" s="43" t="s">
        <v>38</v>
      </c>
      <c r="C89" s="43" t="s">
        <v>99</v>
      </c>
      <c r="D89" s="43" t="s">
        <v>93</v>
      </c>
      <c r="E89" s="43" t="str">
        <f>C89&amp;"_"&amp;D89&amp;"_"&amp;B89</f>
        <v>contact_ball_depth</v>
      </c>
      <c r="F89" s="46" t="s">
        <v>143</v>
      </c>
      <c r="G89" s="43"/>
      <c r="H89" s="32"/>
    </row>
    <row r="90" spans="1:8" x14ac:dyDescent="0.45">
      <c r="A90" s="43" t="s">
        <v>74</v>
      </c>
      <c r="B90" s="43" t="s">
        <v>24</v>
      </c>
      <c r="C90" s="43" t="s">
        <v>99</v>
      </c>
      <c r="D90" s="43" t="s">
        <v>94</v>
      </c>
      <c r="E90" s="43" t="str">
        <f>C90&amp;"_"&amp;D90&amp;"_"&amp;B90</f>
        <v>contact_player_position</v>
      </c>
      <c r="F90" s="46" t="s">
        <v>141</v>
      </c>
      <c r="G90" s="43"/>
    </row>
    <row r="91" spans="1:8" x14ac:dyDescent="0.45">
      <c r="A91" s="43" t="s">
        <v>74</v>
      </c>
      <c r="B91" s="43" t="s">
        <v>96</v>
      </c>
      <c r="C91" s="43" t="s">
        <v>99</v>
      </c>
      <c r="D91" s="43" t="s">
        <v>94</v>
      </c>
      <c r="E91" s="43" t="str">
        <f>C91&amp;"_"&amp;D91&amp;"_"&amp;B91</f>
        <v>contact_player_distanceFromTable</v>
      </c>
      <c r="F91" s="46" t="s">
        <v>143</v>
      </c>
      <c r="G91" s="43"/>
    </row>
    <row r="92" spans="1:8" x14ac:dyDescent="0.45">
      <c r="A92" s="42" t="s">
        <v>74</v>
      </c>
      <c r="B92" s="43" t="s">
        <v>27</v>
      </c>
      <c r="C92" s="43" t="s">
        <v>99</v>
      </c>
      <c r="D92" s="43" t="s">
        <v>94</v>
      </c>
      <c r="E92" s="43" t="str">
        <f>C92&amp;"_"&amp;D92&amp;"_"&amp;B92</f>
        <v>contact_player_wing</v>
      </c>
      <c r="F92" s="46" t="s">
        <v>144</v>
      </c>
      <c r="G92" s="43"/>
    </row>
    <row r="93" spans="1:8" x14ac:dyDescent="0.45">
      <c r="A93" s="42" t="s">
        <v>74</v>
      </c>
      <c r="B93" s="43" t="s">
        <v>28</v>
      </c>
      <c r="C93" s="43" t="s">
        <v>99</v>
      </c>
      <c r="D93" s="43" t="s">
        <v>94</v>
      </c>
      <c r="E93" s="43" t="str">
        <f>C93&amp;"_"&amp;D93&amp;"_"&amp;B93</f>
        <v>contact_player_shotType</v>
      </c>
      <c r="F93" s="44" t="s">
        <v>145</v>
      </c>
      <c r="G93" s="43"/>
    </row>
    <row r="94" spans="1:8" x14ac:dyDescent="0.45">
      <c r="A94" s="22" t="s">
        <v>74</v>
      </c>
      <c r="B94" s="23" t="s">
        <v>14</v>
      </c>
      <c r="C94" s="23" t="s">
        <v>90</v>
      </c>
      <c r="D94" s="23" t="s">
        <v>93</v>
      </c>
      <c r="E94" s="23" t="str">
        <f>C94&amp;"_"&amp;D94&amp;"_"&amp;B94</f>
        <v>outgoing_ball_spin</v>
      </c>
      <c r="F94" s="24" t="s">
        <v>138</v>
      </c>
      <c r="G94" s="23"/>
    </row>
    <row r="95" spans="1:8" x14ac:dyDescent="0.45">
      <c r="A95" s="22" t="s">
        <v>74</v>
      </c>
      <c r="B95" s="23" t="s">
        <v>17</v>
      </c>
      <c r="C95" s="23" t="s">
        <v>90</v>
      </c>
      <c r="D95" s="23" t="s">
        <v>93</v>
      </c>
      <c r="E95" s="23" t="str">
        <f>C95&amp;"_"&amp;D95&amp;"_"&amp;B95</f>
        <v>outgoing_ball_speed</v>
      </c>
      <c r="F95" s="24" t="s">
        <v>139</v>
      </c>
      <c r="G95" s="23"/>
    </row>
    <row r="96" spans="1:8" x14ac:dyDescent="0.45">
      <c r="A96" s="22" t="s">
        <v>74</v>
      </c>
      <c r="B96" s="23" t="s">
        <v>97</v>
      </c>
      <c r="C96" s="23" t="s">
        <v>90</v>
      </c>
      <c r="D96" s="23" t="s">
        <v>93</v>
      </c>
      <c r="E96" s="23" t="str">
        <f>C96&amp;"_"&amp;D96&amp;"_"&amp;B96</f>
        <v>outgoing_ball_arc</v>
      </c>
      <c r="F96" s="24" t="s">
        <v>140</v>
      </c>
      <c r="G96" s="23"/>
    </row>
    <row r="97" spans="1:7" x14ac:dyDescent="0.45">
      <c r="A97" s="39" t="s">
        <v>74</v>
      </c>
      <c r="B97" s="40" t="s">
        <v>88</v>
      </c>
      <c r="C97" s="40" t="s">
        <v>90</v>
      </c>
      <c r="D97" s="40" t="s">
        <v>93</v>
      </c>
      <c r="E97" s="40" t="str">
        <f>C97&amp;"_"&amp;D97&amp;"_"&amp;B97</f>
        <v>outgoing_ball_destination</v>
      </c>
      <c r="F97" s="41" t="s">
        <v>231</v>
      </c>
      <c r="G97" s="40"/>
    </row>
    <row r="98" spans="1:7" x14ac:dyDescent="0.45">
      <c r="A98" s="39" t="s">
        <v>74</v>
      </c>
      <c r="B98" s="40" t="s">
        <v>38</v>
      </c>
      <c r="C98" s="40" t="s">
        <v>90</v>
      </c>
      <c r="D98" s="40" t="s">
        <v>93</v>
      </c>
      <c r="E98" s="40" t="str">
        <f>C98&amp;"_"&amp;D98&amp;"_"&amp;B98</f>
        <v>outgoing_ball_depth</v>
      </c>
      <c r="F98" s="41" t="s">
        <v>232</v>
      </c>
      <c r="G98" s="40"/>
    </row>
    <row r="99" spans="1:7" x14ac:dyDescent="0.45">
      <c r="A99" s="22" t="s">
        <v>74</v>
      </c>
      <c r="B99" s="23" t="s">
        <v>24</v>
      </c>
      <c r="C99" s="23" t="s">
        <v>90</v>
      </c>
      <c r="D99" s="23" t="s">
        <v>94</v>
      </c>
      <c r="E99" s="23" t="str">
        <f>C99&amp;"_"&amp;D99&amp;"_"&amp;B99</f>
        <v>outgoing_player_position</v>
      </c>
      <c r="F99" s="24" t="s">
        <v>141</v>
      </c>
      <c r="G99" s="23"/>
    </row>
    <row r="100" spans="1:7" ht="14.65" thickBot="1" x14ac:dyDescent="0.5">
      <c r="A100" s="25" t="s">
        <v>74</v>
      </c>
      <c r="B100" s="26" t="s">
        <v>96</v>
      </c>
      <c r="C100" s="26" t="s">
        <v>90</v>
      </c>
      <c r="D100" s="26" t="s">
        <v>94</v>
      </c>
      <c r="E100" s="26" t="str">
        <f>C100&amp;"_"&amp;D100&amp;"_"&amp;B100</f>
        <v>outgoing_player_distanceFromTable</v>
      </c>
      <c r="F100" s="27" t="s">
        <v>143</v>
      </c>
      <c r="G100" s="23"/>
    </row>
    <row r="101" spans="1:7" x14ac:dyDescent="0.45">
      <c r="A101" s="28" t="s">
        <v>74</v>
      </c>
      <c r="B101" s="29" t="s">
        <v>14</v>
      </c>
      <c r="C101" s="29" t="s">
        <v>89</v>
      </c>
      <c r="D101" s="29" t="s">
        <v>93</v>
      </c>
      <c r="E101" s="29" t="str">
        <f>C101&amp;"_"&amp;D101&amp;"_"&amp;B101</f>
        <v>incoming_ball_spin</v>
      </c>
      <c r="F101" s="30" t="s">
        <v>138</v>
      </c>
      <c r="G101" s="32"/>
    </row>
    <row r="102" spans="1:7" x14ac:dyDescent="0.45">
      <c r="A102" s="31" t="s">
        <v>74</v>
      </c>
      <c r="B102" s="32" t="s">
        <v>17</v>
      </c>
      <c r="C102" s="32" t="s">
        <v>89</v>
      </c>
      <c r="D102" s="32" t="s">
        <v>93</v>
      </c>
      <c r="E102" s="32" t="str">
        <f>C102&amp;"_"&amp;D102&amp;"_"&amp;B102</f>
        <v>incoming_ball_speed</v>
      </c>
      <c r="F102" s="33" t="s">
        <v>139</v>
      </c>
      <c r="G102" s="32"/>
    </row>
    <row r="103" spans="1:7" x14ac:dyDescent="0.45">
      <c r="A103" s="31" t="s">
        <v>74</v>
      </c>
      <c r="B103" s="32" t="s">
        <v>97</v>
      </c>
      <c r="C103" s="32" t="s">
        <v>89</v>
      </c>
      <c r="D103" s="32" t="s">
        <v>93</v>
      </c>
      <c r="E103" s="32" t="str">
        <f>C103&amp;"_"&amp;D103&amp;"_"&amp;B103</f>
        <v>incoming_ball_arc</v>
      </c>
      <c r="F103" s="33" t="s">
        <v>140</v>
      </c>
      <c r="G103" s="32"/>
    </row>
    <row r="104" spans="1:7" x14ac:dyDescent="0.45">
      <c r="A104" s="31" t="s">
        <v>74</v>
      </c>
      <c r="B104" s="32" t="s">
        <v>88</v>
      </c>
      <c r="C104" s="32" t="s">
        <v>89</v>
      </c>
      <c r="D104" s="32" t="s">
        <v>93</v>
      </c>
      <c r="E104" s="32" t="str">
        <f>C104&amp;"_"&amp;D104&amp;"_"&amp;B104</f>
        <v>incoming_ball_destination</v>
      </c>
      <c r="F104" s="33" t="s">
        <v>141</v>
      </c>
      <c r="G104" s="32"/>
    </row>
    <row r="105" spans="1:7" x14ac:dyDescent="0.45">
      <c r="A105" s="31" t="s">
        <v>74</v>
      </c>
      <c r="B105" s="32" t="s">
        <v>38</v>
      </c>
      <c r="C105" s="32" t="s">
        <v>89</v>
      </c>
      <c r="D105" s="32" t="s">
        <v>93</v>
      </c>
      <c r="E105" s="32" t="str">
        <f>C105&amp;"_"&amp;D105&amp;"_"&amp;B105</f>
        <v>incoming_ball_depth</v>
      </c>
      <c r="F105" s="33" t="s">
        <v>142</v>
      </c>
      <c r="G105" s="32"/>
    </row>
    <row r="106" spans="1:7" x14ac:dyDescent="0.45">
      <c r="A106" s="31" t="s">
        <v>74</v>
      </c>
      <c r="B106" s="32" t="s">
        <v>24</v>
      </c>
      <c r="C106" s="32" t="s">
        <v>89</v>
      </c>
      <c r="D106" s="32" t="s">
        <v>94</v>
      </c>
      <c r="E106" s="32" t="str">
        <f>C106&amp;"_"&amp;D106&amp;"_"&amp;B106</f>
        <v>incoming_player_position</v>
      </c>
      <c r="F106" s="33" t="s">
        <v>141</v>
      </c>
      <c r="G106" s="32"/>
    </row>
    <row r="107" spans="1:7" ht="14.65" thickBot="1" x14ac:dyDescent="0.5">
      <c r="A107" s="34" t="s">
        <v>74</v>
      </c>
      <c r="B107" s="35" t="s">
        <v>96</v>
      </c>
      <c r="C107" s="35" t="s">
        <v>89</v>
      </c>
      <c r="D107" s="35" t="s">
        <v>94</v>
      </c>
      <c r="E107" s="35" t="str">
        <f>C107&amp;"_"&amp;D107&amp;"_"&amp;B107</f>
        <v>incoming_player_distanceFromTable</v>
      </c>
      <c r="F107" s="36" t="s">
        <v>143</v>
      </c>
      <c r="G107" s="32"/>
    </row>
    <row r="108" spans="1:7" x14ac:dyDescent="0.45">
      <c r="A108" s="19" t="s">
        <v>74</v>
      </c>
      <c r="B108" s="20" t="s">
        <v>24</v>
      </c>
      <c r="C108" s="20" t="s">
        <v>99</v>
      </c>
      <c r="D108" s="20" t="s">
        <v>94</v>
      </c>
      <c r="E108" s="20" t="str">
        <f>C108&amp;"_"&amp;D108&amp;"_"&amp;B108</f>
        <v>contact_player_position</v>
      </c>
      <c r="F108" s="21" t="s">
        <v>141</v>
      </c>
      <c r="G108" s="23"/>
    </row>
    <row r="109" spans="1:7" x14ac:dyDescent="0.45">
      <c r="A109" s="22" t="s">
        <v>74</v>
      </c>
      <c r="B109" s="23" t="s">
        <v>96</v>
      </c>
      <c r="C109" s="23" t="s">
        <v>99</v>
      </c>
      <c r="D109" s="23" t="s">
        <v>94</v>
      </c>
      <c r="E109" s="23" t="str">
        <f>C109&amp;"_"&amp;D109&amp;"_"&amp;B109</f>
        <v>contact_player_distanceFromTable</v>
      </c>
      <c r="F109" s="24" t="s">
        <v>143</v>
      </c>
      <c r="G109" s="23"/>
    </row>
    <row r="110" spans="1:7" x14ac:dyDescent="0.45">
      <c r="A110" s="22" t="s">
        <v>74</v>
      </c>
      <c r="B110" s="23" t="s">
        <v>27</v>
      </c>
      <c r="C110" s="23" t="s">
        <v>99</v>
      </c>
      <c r="D110" s="23" t="s">
        <v>94</v>
      </c>
      <c r="E110" s="23" t="str">
        <f>C110&amp;"_"&amp;D110&amp;"_"&amp;B110</f>
        <v>contact_player_wing</v>
      </c>
      <c r="F110" s="24" t="s">
        <v>144</v>
      </c>
      <c r="G110" s="23"/>
    </row>
    <row r="111" spans="1:7" x14ac:dyDescent="0.45">
      <c r="A111" s="22" t="s">
        <v>74</v>
      </c>
      <c r="B111" s="23" t="s">
        <v>28</v>
      </c>
      <c r="C111" s="23" t="s">
        <v>99</v>
      </c>
      <c r="D111" s="23" t="s">
        <v>94</v>
      </c>
      <c r="E111" s="23" t="str">
        <f>C111&amp;"_"&amp;D111&amp;"_"&amp;B111</f>
        <v>contact_player_shotType</v>
      </c>
      <c r="F111" s="24" t="s">
        <v>145</v>
      </c>
      <c r="G111" s="23"/>
    </row>
    <row r="112" spans="1:7" x14ac:dyDescent="0.45">
      <c r="A112" s="22" t="s">
        <v>74</v>
      </c>
      <c r="B112" s="23" t="s">
        <v>14</v>
      </c>
      <c r="C112" s="23" t="s">
        <v>90</v>
      </c>
      <c r="D112" s="23" t="s">
        <v>93</v>
      </c>
      <c r="E112" s="23" t="str">
        <f>C112&amp;"_"&amp;D112&amp;"_"&amp;B112</f>
        <v>outgoing_ball_spin</v>
      </c>
      <c r="F112" s="24" t="s">
        <v>138</v>
      </c>
      <c r="G112" s="23"/>
    </row>
    <row r="113" spans="1:11" x14ac:dyDescent="0.45">
      <c r="A113" s="22" t="s">
        <v>74</v>
      </c>
      <c r="B113" s="23" t="s">
        <v>17</v>
      </c>
      <c r="C113" s="23" t="s">
        <v>90</v>
      </c>
      <c r="D113" s="23" t="s">
        <v>93</v>
      </c>
      <c r="E113" s="23" t="str">
        <f>C113&amp;"_"&amp;D113&amp;"_"&amp;B113</f>
        <v>outgoing_ball_speed</v>
      </c>
      <c r="F113" s="24" t="s">
        <v>139</v>
      </c>
      <c r="G113" s="23"/>
    </row>
    <row r="114" spans="1:11" x14ac:dyDescent="0.45">
      <c r="A114" s="22" t="s">
        <v>74</v>
      </c>
      <c r="B114" s="23" t="s">
        <v>97</v>
      </c>
      <c r="C114" s="23" t="s">
        <v>90</v>
      </c>
      <c r="D114" s="23" t="s">
        <v>93</v>
      </c>
      <c r="E114" s="23" t="str">
        <f>C114&amp;"_"&amp;D114&amp;"_"&amp;B114</f>
        <v>outgoing_ball_arc</v>
      </c>
      <c r="F114" s="24" t="s">
        <v>140</v>
      </c>
      <c r="G114" s="23"/>
    </row>
    <row r="115" spans="1:11" x14ac:dyDescent="0.45">
      <c r="A115" s="39" t="s">
        <v>74</v>
      </c>
      <c r="B115" s="40" t="s">
        <v>88</v>
      </c>
      <c r="C115" s="40" t="s">
        <v>90</v>
      </c>
      <c r="D115" s="40" t="s">
        <v>93</v>
      </c>
      <c r="E115" s="40" t="str">
        <f>C115&amp;"_"&amp;D115&amp;"_"&amp;B115</f>
        <v>outgoing_ball_destination</v>
      </c>
      <c r="F115" s="41" t="s">
        <v>231</v>
      </c>
      <c r="G115" s="40"/>
    </row>
    <row r="116" spans="1:11" x14ac:dyDescent="0.45">
      <c r="A116" s="39" t="s">
        <v>74</v>
      </c>
      <c r="B116" s="40" t="s">
        <v>38</v>
      </c>
      <c r="C116" s="40" t="s">
        <v>90</v>
      </c>
      <c r="D116" s="40" t="s">
        <v>93</v>
      </c>
      <c r="E116" s="40" t="str">
        <f>C116&amp;"_"&amp;D116&amp;"_"&amp;B116</f>
        <v>outgoing_ball_depth</v>
      </c>
      <c r="F116" s="41" t="s">
        <v>232</v>
      </c>
      <c r="G116" s="40"/>
    </row>
    <row r="117" spans="1:11" x14ac:dyDescent="0.45">
      <c r="A117" s="22" t="s">
        <v>74</v>
      </c>
      <c r="B117" s="23" t="s">
        <v>24</v>
      </c>
      <c r="C117" s="23" t="s">
        <v>90</v>
      </c>
      <c r="D117" s="23" t="s">
        <v>94</v>
      </c>
      <c r="E117" s="23" t="str">
        <f>C117&amp;"_"&amp;D117&amp;"_"&amp;B117</f>
        <v>outgoing_player_position</v>
      </c>
      <c r="F117" s="24" t="s">
        <v>141</v>
      </c>
      <c r="G117" s="23"/>
    </row>
    <row r="118" spans="1:11" ht="14.65" thickBot="1" x14ac:dyDescent="0.5">
      <c r="A118" s="25" t="s">
        <v>74</v>
      </c>
      <c r="B118" s="26" t="s">
        <v>96</v>
      </c>
      <c r="C118" s="26" t="s">
        <v>90</v>
      </c>
      <c r="D118" s="26" t="s">
        <v>94</v>
      </c>
      <c r="E118" s="26" t="str">
        <f>C118&amp;"_"&amp;D118&amp;"_"&amp;B118</f>
        <v>outgoing_player_distanceFromTable</v>
      </c>
      <c r="F118" s="27" t="s">
        <v>143</v>
      </c>
      <c r="G118" s="23"/>
    </row>
    <row r="120" spans="1:11" x14ac:dyDescent="0.45">
      <c r="A120" s="1" t="s">
        <v>202</v>
      </c>
      <c r="H120" s="1" t="s">
        <v>202</v>
      </c>
    </row>
    <row r="121" spans="1:11" x14ac:dyDescent="0.45">
      <c r="H121" s="1" t="s">
        <v>203</v>
      </c>
    </row>
    <row r="122" spans="1:11" x14ac:dyDescent="0.45">
      <c r="E122" s="1" t="s">
        <v>208</v>
      </c>
      <c r="H122" s="1" t="s">
        <v>44</v>
      </c>
    </row>
    <row r="123" spans="1:11" x14ac:dyDescent="0.45">
      <c r="E123" s="1" t="s">
        <v>207</v>
      </c>
      <c r="H123" s="1" t="s">
        <v>44</v>
      </c>
      <c r="J123" s="1" t="s">
        <v>199</v>
      </c>
    </row>
    <row r="124" spans="1:11" x14ac:dyDescent="0.45">
      <c r="A124" s="43" t="s">
        <v>74</v>
      </c>
      <c r="B124" s="43" t="s">
        <v>24</v>
      </c>
      <c r="C124" s="43" t="s">
        <v>99</v>
      </c>
      <c r="D124" s="43" t="s">
        <v>93</v>
      </c>
      <c r="E124" s="43" t="str">
        <f>C124&amp;"_"&amp;D124&amp;"_"&amp;B124&amp;" / "</f>
        <v xml:space="preserve">contact_ball_position / </v>
      </c>
      <c r="F124" s="46" t="s">
        <v>141</v>
      </c>
      <c r="G124" s="43"/>
      <c r="H124" s="47" t="s">
        <v>205</v>
      </c>
    </row>
    <row r="125" spans="1:11" x14ac:dyDescent="0.45">
      <c r="A125" s="43" t="s">
        <v>74</v>
      </c>
      <c r="B125" s="43" t="s">
        <v>38</v>
      </c>
      <c r="C125" s="43" t="s">
        <v>99</v>
      </c>
      <c r="D125" s="43" t="s">
        <v>93</v>
      </c>
      <c r="E125" s="43" t="str">
        <f>C125&amp;"_"&amp;D125&amp;"_"&amp;B125&amp;" / "</f>
        <v xml:space="preserve">contact_ball_depth / </v>
      </c>
      <c r="F125" s="46" t="s">
        <v>143</v>
      </c>
      <c r="G125" s="43"/>
      <c r="H125" s="43" t="s">
        <v>204</v>
      </c>
      <c r="I125" t="str">
        <f>E129</f>
        <v xml:space="preserve">contact_player_shotType / </v>
      </c>
      <c r="K125" t="s">
        <v>201</v>
      </c>
    </row>
    <row r="126" spans="1:11" x14ac:dyDescent="0.45">
      <c r="A126" s="43" t="s">
        <v>74</v>
      </c>
      <c r="B126" s="43" t="s">
        <v>24</v>
      </c>
      <c r="C126" s="43" t="s">
        <v>99</v>
      </c>
      <c r="D126" s="43" t="s">
        <v>94</v>
      </c>
      <c r="E126" s="43" t="str">
        <f>C126&amp;"_"&amp;D126&amp;"_"&amp;B126&amp;" / "</f>
        <v xml:space="preserve">contact_player_position / </v>
      </c>
      <c r="F126" s="46" t="s">
        <v>141</v>
      </c>
      <c r="G126" s="43"/>
      <c r="H126" s="43" t="s">
        <v>204</v>
      </c>
      <c r="I126" t="str">
        <f>E124&amp;E128</f>
        <v xml:space="preserve">contact_ball_position / contact_player_wing / </v>
      </c>
      <c r="J126" s="43" t="s">
        <v>74</v>
      </c>
      <c r="K126" s="43" t="s">
        <v>74</v>
      </c>
    </row>
    <row r="127" spans="1:11" x14ac:dyDescent="0.45">
      <c r="A127" s="43" t="s">
        <v>74</v>
      </c>
      <c r="B127" s="43" t="s">
        <v>95</v>
      </c>
      <c r="C127" s="43" t="s">
        <v>99</v>
      </c>
      <c r="D127" s="43" t="s">
        <v>94</v>
      </c>
      <c r="E127" s="43" t="str">
        <f>C127&amp;"_"&amp;D127&amp;"_"&amp;B127&amp;" / "</f>
        <v xml:space="preserve">contact_player_distance / </v>
      </c>
      <c r="F127" s="46" t="s">
        <v>143</v>
      </c>
      <c r="G127" s="43"/>
      <c r="H127" s="43" t="s">
        <v>204</v>
      </c>
      <c r="I127" t="str">
        <f>E125</f>
        <v xml:space="preserve">contact_ball_depth / </v>
      </c>
      <c r="K127" s="43" t="s">
        <v>74</v>
      </c>
    </row>
    <row r="128" spans="1:11" x14ac:dyDescent="0.45">
      <c r="A128" s="42" t="s">
        <v>74</v>
      </c>
      <c r="B128" s="43" t="s">
        <v>27</v>
      </c>
      <c r="C128" s="43" t="s">
        <v>99</v>
      </c>
      <c r="D128" s="43" t="s">
        <v>94</v>
      </c>
      <c r="E128" s="43" t="str">
        <f>C128&amp;"_"&amp;D128&amp;"_"&amp;B128&amp;" / "</f>
        <v xml:space="preserve">contact_player_wing / </v>
      </c>
      <c r="F128" s="46" t="s">
        <v>144</v>
      </c>
      <c r="G128" s="43"/>
      <c r="H128" s="47" t="s">
        <v>205</v>
      </c>
      <c r="J128" s="43" t="s">
        <v>77</v>
      </c>
      <c r="K128" s="43" t="s">
        <v>74</v>
      </c>
    </row>
    <row r="129" spans="1:11" x14ac:dyDescent="0.45">
      <c r="A129" s="42" t="s">
        <v>74</v>
      </c>
      <c r="B129" s="43" t="s">
        <v>28</v>
      </c>
      <c r="C129" s="43" t="s">
        <v>99</v>
      </c>
      <c r="D129" s="43" t="s">
        <v>94</v>
      </c>
      <c r="E129" s="43" t="str">
        <f>C129&amp;"_"&amp;D129&amp;"_"&amp;B129&amp;" / "</f>
        <v xml:space="preserve">contact_player_shotType / </v>
      </c>
      <c r="F129" s="44" t="s">
        <v>145</v>
      </c>
      <c r="G129" s="43"/>
      <c r="H129" s="43" t="s">
        <v>204</v>
      </c>
      <c r="I129" t="s">
        <v>206</v>
      </c>
      <c r="K129" s="43" t="s">
        <v>74</v>
      </c>
    </row>
    <row r="130" spans="1:11" x14ac:dyDescent="0.45">
      <c r="A130" s="22" t="s">
        <v>74</v>
      </c>
      <c r="B130" s="23" t="s">
        <v>14</v>
      </c>
      <c r="C130" s="23" t="s">
        <v>90</v>
      </c>
      <c r="D130" s="23" t="s">
        <v>93</v>
      </c>
      <c r="E130" s="37" t="str">
        <f>C130&amp;"_"&amp;D130&amp;"_"&amp;B130&amp;" / "</f>
        <v xml:space="preserve">outgoing_ball_spin / </v>
      </c>
      <c r="F130" s="24" t="s">
        <v>138</v>
      </c>
      <c r="G130" s="24"/>
      <c r="H130" s="41" t="s">
        <v>205</v>
      </c>
      <c r="I130" s="24"/>
      <c r="J130" s="43" t="s">
        <v>74</v>
      </c>
    </row>
    <row r="131" spans="1:11" x14ac:dyDescent="0.45">
      <c r="A131" s="22" t="s">
        <v>74</v>
      </c>
      <c r="B131" s="23" t="s">
        <v>17</v>
      </c>
      <c r="C131" s="23" t="s">
        <v>90</v>
      </c>
      <c r="D131" s="23" t="s">
        <v>93</v>
      </c>
      <c r="E131" s="23" t="str">
        <f>C131&amp;"_"&amp;D131&amp;"_"&amp;B131&amp;" / "</f>
        <v xml:space="preserve">outgoing_ball_speed / </v>
      </c>
      <c r="F131" s="24" t="s">
        <v>139</v>
      </c>
      <c r="G131" s="24"/>
      <c r="H131" s="41" t="s">
        <v>205</v>
      </c>
      <c r="I131" s="24"/>
      <c r="J131" t="s">
        <v>200</v>
      </c>
    </row>
    <row r="132" spans="1:11" x14ac:dyDescent="0.45">
      <c r="A132" s="22" t="s">
        <v>74</v>
      </c>
      <c r="B132" s="23" t="s">
        <v>97</v>
      </c>
      <c r="C132" s="23" t="s">
        <v>90</v>
      </c>
      <c r="D132" s="23" t="s">
        <v>93</v>
      </c>
      <c r="E132" s="23" t="str">
        <f>C132&amp;"_"&amp;D132&amp;"_"&amp;B132&amp;" / "</f>
        <v xml:space="preserve">outgoing_ball_arc / </v>
      </c>
      <c r="F132" s="24" t="s">
        <v>140</v>
      </c>
      <c r="G132" s="24"/>
      <c r="H132" s="41" t="s">
        <v>205</v>
      </c>
      <c r="I132" s="24"/>
      <c r="J132" s="43" t="s">
        <v>77</v>
      </c>
    </row>
    <row r="133" spans="1:11" x14ac:dyDescent="0.45">
      <c r="A133" s="39" t="s">
        <v>74</v>
      </c>
      <c r="B133" s="40" t="s">
        <v>88</v>
      </c>
      <c r="C133" s="40" t="s">
        <v>90</v>
      </c>
      <c r="D133" s="40" t="s">
        <v>93</v>
      </c>
      <c r="E133" s="40" t="str">
        <f>C133&amp;"_"&amp;D133&amp;"_"&amp;B133&amp;" / "</f>
        <v xml:space="preserve">outgoing_ball_destination / </v>
      </c>
      <c r="F133" s="41" t="s">
        <v>231</v>
      </c>
      <c r="G133" s="41"/>
      <c r="H133" s="41" t="s">
        <v>205</v>
      </c>
      <c r="I133" s="41"/>
      <c r="J133" s="38" t="s">
        <v>74</v>
      </c>
    </row>
    <row r="134" spans="1:11" x14ac:dyDescent="0.45">
      <c r="A134" s="39" t="s">
        <v>74</v>
      </c>
      <c r="B134" s="40" t="s">
        <v>38</v>
      </c>
      <c r="C134" s="40" t="s">
        <v>90</v>
      </c>
      <c r="D134" s="40" t="s">
        <v>93</v>
      </c>
      <c r="E134" s="40" t="str">
        <f>C134&amp;"_"&amp;D134&amp;"_"&amp;B134&amp;" / "</f>
        <v xml:space="preserve">outgoing_ball_depth / </v>
      </c>
      <c r="F134" s="41" t="s">
        <v>232</v>
      </c>
      <c r="G134" s="41"/>
      <c r="H134" s="41" t="s">
        <v>205</v>
      </c>
      <c r="I134" s="41"/>
      <c r="J134" s="38" t="s">
        <v>74</v>
      </c>
    </row>
    <row r="135" spans="1:11" x14ac:dyDescent="0.45">
      <c r="A135" s="22"/>
      <c r="B135" s="23"/>
      <c r="C135" s="23"/>
      <c r="D135" s="23"/>
      <c r="E135" s="1" t="s">
        <v>208</v>
      </c>
      <c r="F135" s="23"/>
      <c r="G135" s="23"/>
      <c r="H135" s="1" t="s">
        <v>44</v>
      </c>
      <c r="I135" s="24"/>
      <c r="J135" t="s">
        <v>77</v>
      </c>
    </row>
    <row r="136" spans="1:11" ht="14.65" thickBot="1" x14ac:dyDescent="0.5">
      <c r="A136" s="25"/>
      <c r="B136" s="26"/>
      <c r="C136" s="26"/>
      <c r="D136" s="26"/>
      <c r="E136" s="49" t="s">
        <v>207</v>
      </c>
      <c r="F136" s="23"/>
      <c r="G136" s="23"/>
      <c r="H136" s="1" t="s">
        <v>44</v>
      </c>
      <c r="J136" s="37" t="s">
        <v>77</v>
      </c>
    </row>
    <row r="137" spans="1:11" x14ac:dyDescent="0.45">
      <c r="A137" s="28" t="s">
        <v>74</v>
      </c>
      <c r="B137" s="29" t="s">
        <v>14</v>
      </c>
      <c r="C137" s="29" t="s">
        <v>89</v>
      </c>
      <c r="D137" s="29" t="s">
        <v>93</v>
      </c>
      <c r="E137" s="29" t="str">
        <f>C137&amp;"_"&amp;D137&amp;"_"&amp;B137&amp;" / "</f>
        <v xml:space="preserve">incoming_ball_spin / </v>
      </c>
      <c r="F137" s="32" t="s">
        <v>138</v>
      </c>
      <c r="G137" s="32"/>
      <c r="H137" s="43" t="s">
        <v>204</v>
      </c>
      <c r="I137" t="str">
        <f>E130</f>
        <v xml:space="preserve">outgoing_ball_spin / </v>
      </c>
    </row>
    <row r="138" spans="1:11" x14ac:dyDescent="0.45">
      <c r="A138" s="31" t="s">
        <v>74</v>
      </c>
      <c r="B138" s="32" t="s">
        <v>17</v>
      </c>
      <c r="C138" s="32" t="s">
        <v>89</v>
      </c>
      <c r="D138" s="32" t="s">
        <v>93</v>
      </c>
      <c r="E138" s="32" t="str">
        <f>C138&amp;"_"&amp;D138&amp;"_"&amp;B138&amp;" / "</f>
        <v xml:space="preserve">incoming_ball_speed / </v>
      </c>
      <c r="F138" s="32" t="s">
        <v>139</v>
      </c>
      <c r="G138" s="32"/>
      <c r="H138" s="43" t="s">
        <v>204</v>
      </c>
      <c r="I138" t="str">
        <f t="shared" ref="I138:I141" si="0">E131</f>
        <v xml:space="preserve">outgoing_ball_speed / </v>
      </c>
    </row>
    <row r="139" spans="1:11" x14ac:dyDescent="0.45">
      <c r="A139" s="31" t="s">
        <v>74</v>
      </c>
      <c r="B139" s="32" t="s">
        <v>97</v>
      </c>
      <c r="C139" s="32" t="s">
        <v>89</v>
      </c>
      <c r="D139" s="32" t="s">
        <v>93</v>
      </c>
      <c r="E139" s="32" t="str">
        <f>C139&amp;"_"&amp;D139&amp;"_"&amp;B139&amp;" / "</f>
        <v xml:space="preserve">incoming_ball_arc / </v>
      </c>
      <c r="F139" s="32" t="s">
        <v>140</v>
      </c>
      <c r="G139" s="32"/>
      <c r="H139" s="43" t="s">
        <v>204</v>
      </c>
      <c r="I139" t="str">
        <f t="shared" si="0"/>
        <v xml:space="preserve">outgoing_ball_arc / </v>
      </c>
    </row>
    <row r="140" spans="1:11" x14ac:dyDescent="0.45">
      <c r="A140" s="31" t="s">
        <v>74</v>
      </c>
      <c r="B140" s="32" t="s">
        <v>88</v>
      </c>
      <c r="C140" s="32" t="s">
        <v>89</v>
      </c>
      <c r="D140" s="32" t="s">
        <v>93</v>
      </c>
      <c r="E140" s="32" t="str">
        <f>C140&amp;"_"&amp;D140&amp;"_"&amp;B140&amp;" / "</f>
        <v xml:space="preserve">incoming_ball_destination / </v>
      </c>
      <c r="F140" s="32" t="s">
        <v>141</v>
      </c>
      <c r="G140" s="32"/>
      <c r="H140" s="43" t="s">
        <v>204</v>
      </c>
      <c r="I140" t="str">
        <f t="shared" si="0"/>
        <v xml:space="preserve">outgoing_ball_destination / </v>
      </c>
    </row>
    <row r="141" spans="1:11" x14ac:dyDescent="0.45">
      <c r="A141" s="31" t="s">
        <v>74</v>
      </c>
      <c r="B141" s="32" t="s">
        <v>38</v>
      </c>
      <c r="C141" s="32" t="s">
        <v>89</v>
      </c>
      <c r="D141" s="32" t="s">
        <v>93</v>
      </c>
      <c r="E141" s="32" t="str">
        <f>C141&amp;"_"&amp;D141&amp;"_"&amp;B141&amp;" / "</f>
        <v xml:space="preserve">incoming_ball_depth / </v>
      </c>
      <c r="F141" s="32" t="s">
        <v>142</v>
      </c>
      <c r="G141" s="32"/>
      <c r="H141" s="43" t="s">
        <v>204</v>
      </c>
      <c r="I141" t="str">
        <f t="shared" si="0"/>
        <v xml:space="preserve">outgoing_ball_depth / </v>
      </c>
    </row>
    <row r="142" spans="1:11" x14ac:dyDescent="0.45">
      <c r="A142" s="31"/>
      <c r="B142" s="32"/>
      <c r="C142" s="32"/>
      <c r="D142" s="32"/>
      <c r="E142" s="1" t="s">
        <v>208</v>
      </c>
      <c r="F142" s="32"/>
      <c r="G142" s="32"/>
      <c r="H142" s="43"/>
    </row>
    <row r="143" spans="1:11" ht="14.65" thickBot="1" x14ac:dyDescent="0.5">
      <c r="A143" s="34"/>
      <c r="B143" s="35"/>
      <c r="C143" s="35"/>
      <c r="D143" s="35"/>
      <c r="E143" s="49" t="s">
        <v>207</v>
      </c>
      <c r="F143" s="35"/>
      <c r="G143" s="32"/>
      <c r="H143" s="43"/>
    </row>
    <row r="144" spans="1:11" x14ac:dyDescent="0.45">
      <c r="A144" s="43" t="s">
        <v>74</v>
      </c>
      <c r="B144" s="43" t="s">
        <v>24</v>
      </c>
      <c r="C144" s="43" t="s">
        <v>99</v>
      </c>
      <c r="D144" s="43" t="s">
        <v>93</v>
      </c>
      <c r="E144" s="43" t="str">
        <f>C144&amp;"_"&amp;D144&amp;"_"&amp;B144</f>
        <v>contact_ball_position</v>
      </c>
      <c r="F144" s="46" t="s">
        <v>141</v>
      </c>
      <c r="G144" s="43"/>
      <c r="H144" s="43" t="s">
        <v>204</v>
      </c>
      <c r="I144" t="str">
        <f>E133</f>
        <v xml:space="preserve">outgoing_ball_destination / </v>
      </c>
    </row>
    <row r="145" spans="1:9" x14ac:dyDescent="0.45">
      <c r="A145" s="43" t="s">
        <v>74</v>
      </c>
      <c r="B145" s="43" t="s">
        <v>38</v>
      </c>
      <c r="C145" s="43" t="s">
        <v>99</v>
      </c>
      <c r="D145" s="43" t="s">
        <v>93</v>
      </c>
      <c r="E145" s="43" t="str">
        <f>C145&amp;"_"&amp;D145&amp;"_"&amp;B145</f>
        <v>contact_ball_depth</v>
      </c>
      <c r="F145" s="46" t="s">
        <v>143</v>
      </c>
      <c r="G145" s="43"/>
      <c r="H145" s="43" t="s">
        <v>204</v>
      </c>
      <c r="I145" t="str">
        <f>E134</f>
        <v xml:space="preserve">outgoing_ball_depth / </v>
      </c>
    </row>
    <row r="146" spans="1:9" x14ac:dyDescent="0.45">
      <c r="A146" s="43" t="s">
        <v>74</v>
      </c>
      <c r="B146" s="43" t="s">
        <v>24</v>
      </c>
      <c r="C146" s="43" t="s">
        <v>99</v>
      </c>
      <c r="D146" s="43" t="s">
        <v>94</v>
      </c>
      <c r="E146" s="43" t="str">
        <f>C146&amp;"_"&amp;D146&amp;"_"&amp;B146</f>
        <v>contact_player_position</v>
      </c>
      <c r="F146" s="46" t="s">
        <v>141</v>
      </c>
      <c r="G146" s="43"/>
      <c r="H146" s="43" t="s">
        <v>204</v>
      </c>
      <c r="I146" t="str">
        <f>E148&amp;E144&amp;E124</f>
        <v xml:space="preserve">contact_player_wingcontact_ball_positioncontact_ball_position / </v>
      </c>
    </row>
    <row r="147" spans="1:9" x14ac:dyDescent="0.45">
      <c r="A147" s="43" t="s">
        <v>74</v>
      </c>
      <c r="B147" s="43" t="s">
        <v>95</v>
      </c>
      <c r="C147" s="43" t="s">
        <v>99</v>
      </c>
      <c r="D147" s="43" t="s">
        <v>94</v>
      </c>
      <c r="E147" s="43" t="str">
        <f>C147&amp;"_"&amp;D147&amp;"_"&amp;B147</f>
        <v>contact_player_distance</v>
      </c>
      <c r="F147" s="46" t="s">
        <v>143</v>
      </c>
      <c r="G147" s="43"/>
      <c r="H147" s="43" t="s">
        <v>204</v>
      </c>
      <c r="I147" t="str">
        <f>E129&amp;E131&amp;E134</f>
        <v xml:space="preserve">contact_player_shotType / outgoing_ball_speed / outgoing_ball_depth / </v>
      </c>
    </row>
    <row r="148" spans="1:9" x14ac:dyDescent="0.45">
      <c r="A148" s="42" t="s">
        <v>74</v>
      </c>
      <c r="B148" s="43" t="s">
        <v>27</v>
      </c>
      <c r="C148" s="43" t="s">
        <v>99</v>
      </c>
      <c r="D148" s="43" t="s">
        <v>94</v>
      </c>
      <c r="E148" s="43" t="str">
        <f>C148&amp;"_"&amp;D148&amp;"_"&amp;B148</f>
        <v>contact_player_wing</v>
      </c>
      <c r="F148" s="46" t="s">
        <v>144</v>
      </c>
      <c r="G148" s="43" t="s">
        <v>212</v>
      </c>
      <c r="H148" s="47" t="s">
        <v>205</v>
      </c>
    </row>
    <row r="149" spans="1:9" x14ac:dyDescent="0.45">
      <c r="A149" s="42" t="s">
        <v>74</v>
      </c>
      <c r="B149" s="43" t="s">
        <v>28</v>
      </c>
      <c r="C149" s="43" t="s">
        <v>99</v>
      </c>
      <c r="D149" s="43" t="s">
        <v>94</v>
      </c>
      <c r="E149" s="43" t="str">
        <f>C149&amp;"_"&amp;D149&amp;"_"&amp;B149</f>
        <v>contact_player_shotType</v>
      </c>
      <c r="F149" s="44" t="s">
        <v>215</v>
      </c>
      <c r="G149" s="43"/>
      <c r="H149" s="47" t="s">
        <v>211</v>
      </c>
      <c r="I149" s="43" t="s">
        <v>209</v>
      </c>
    </row>
    <row r="150" spans="1:9" x14ac:dyDescent="0.45">
      <c r="A150" s="22" t="s">
        <v>74</v>
      </c>
      <c r="B150" s="23" t="s">
        <v>14</v>
      </c>
      <c r="C150" s="23" t="s">
        <v>90</v>
      </c>
      <c r="D150" s="23" t="s">
        <v>93</v>
      </c>
      <c r="E150" s="43" t="str">
        <f>C150&amp;"_"&amp;D150&amp;"_"&amp;B150</f>
        <v>outgoing_ball_spin</v>
      </c>
      <c r="F150" s="24" t="s">
        <v>138</v>
      </c>
      <c r="G150" s="24"/>
      <c r="H150" s="48" t="s">
        <v>210</v>
      </c>
    </row>
    <row r="151" spans="1:9" x14ac:dyDescent="0.45">
      <c r="A151" s="22" t="s">
        <v>74</v>
      </c>
      <c r="B151" s="23" t="s">
        <v>17</v>
      </c>
      <c r="C151" s="23" t="s">
        <v>90</v>
      </c>
      <c r="D151" s="23" t="s">
        <v>93</v>
      </c>
      <c r="E151" s="43" t="str">
        <f>C151&amp;"_"&amp;D151&amp;"_"&amp;B151</f>
        <v>outgoing_ball_speed</v>
      </c>
      <c r="F151" s="24" t="s">
        <v>139</v>
      </c>
      <c r="G151" s="24"/>
      <c r="H151" s="48" t="s">
        <v>210</v>
      </c>
    </row>
    <row r="152" spans="1:9" x14ac:dyDescent="0.45">
      <c r="A152" s="22" t="s">
        <v>74</v>
      </c>
      <c r="B152" s="23" t="s">
        <v>97</v>
      </c>
      <c r="C152" s="23" t="s">
        <v>90</v>
      </c>
      <c r="D152" s="23" t="s">
        <v>93</v>
      </c>
      <c r="E152" s="43" t="str">
        <f>C152&amp;"_"&amp;D152&amp;"_"&amp;B152</f>
        <v>outgoing_ball_arc</v>
      </c>
      <c r="F152" s="24" t="s">
        <v>140</v>
      </c>
      <c r="G152" s="24"/>
      <c r="H152" s="48" t="s">
        <v>210</v>
      </c>
    </row>
    <row r="153" spans="1:9" x14ac:dyDescent="0.45">
      <c r="A153" s="39" t="s">
        <v>74</v>
      </c>
      <c r="B153" s="40" t="s">
        <v>88</v>
      </c>
      <c r="C153" s="40" t="s">
        <v>90</v>
      </c>
      <c r="D153" s="40" t="s">
        <v>93</v>
      </c>
      <c r="E153" s="43" t="str">
        <f>C153&amp;"_"&amp;D153&amp;"_"&amp;B153</f>
        <v>outgoing_ball_destination</v>
      </c>
      <c r="F153" s="41" t="s">
        <v>264</v>
      </c>
      <c r="G153" s="48" t="s">
        <v>213</v>
      </c>
      <c r="H153" s="41" t="s">
        <v>205</v>
      </c>
    </row>
    <row r="154" spans="1:9" x14ac:dyDescent="0.45">
      <c r="A154" s="39" t="s">
        <v>74</v>
      </c>
      <c r="B154" s="40" t="s">
        <v>38</v>
      </c>
      <c r="C154" s="40" t="s">
        <v>90</v>
      </c>
      <c r="D154" s="40" t="s">
        <v>93</v>
      </c>
      <c r="E154" s="43" t="str">
        <f>C154&amp;"_"&amp;D154&amp;"_"&amp;B154</f>
        <v>outgoing_ball_depth</v>
      </c>
      <c r="F154" s="41" t="s">
        <v>265</v>
      </c>
      <c r="G154" s="48" t="s">
        <v>213</v>
      </c>
      <c r="H154" s="41" t="s">
        <v>205</v>
      </c>
    </row>
    <row r="156" spans="1:9" x14ac:dyDescent="0.45">
      <c r="E156" t="s">
        <v>266</v>
      </c>
      <c r="F156" t="s">
        <v>267</v>
      </c>
      <c r="G156" t="s">
        <v>212</v>
      </c>
    </row>
    <row r="160" spans="1:9" x14ac:dyDescent="0.45">
      <c r="E160" s="1"/>
      <c r="F160" s="1"/>
      <c r="G160" s="1"/>
    </row>
    <row r="161" spans="3:7" x14ac:dyDescent="0.45">
      <c r="C161" t="s">
        <v>214</v>
      </c>
      <c r="E161" t="s">
        <v>268</v>
      </c>
      <c r="F161" t="s">
        <v>217</v>
      </c>
    </row>
    <row r="162" spans="3:7" x14ac:dyDescent="0.45">
      <c r="C162" t="s">
        <v>214</v>
      </c>
      <c r="E162" t="s">
        <v>269</v>
      </c>
      <c r="F162" t="s">
        <v>57</v>
      </c>
    </row>
    <row r="164" spans="3:7" x14ac:dyDescent="0.45">
      <c r="C164" t="s">
        <v>214</v>
      </c>
      <c r="E164" t="s">
        <v>270</v>
      </c>
      <c r="F164" t="s">
        <v>63</v>
      </c>
    </row>
    <row r="165" spans="3:7" x14ac:dyDescent="0.45">
      <c r="C165" t="s">
        <v>214</v>
      </c>
      <c r="E165" t="s">
        <v>271</v>
      </c>
      <c r="F165" t="s">
        <v>66</v>
      </c>
    </row>
    <row r="168" spans="3:7" x14ac:dyDescent="0.45">
      <c r="C168" t="s">
        <v>216</v>
      </c>
      <c r="E168" t="s">
        <v>272</v>
      </c>
      <c r="F168" t="s">
        <v>141</v>
      </c>
      <c r="G168" t="s">
        <v>273</v>
      </c>
    </row>
    <row r="169" spans="3:7" x14ac:dyDescent="0.45">
      <c r="C169" t="s">
        <v>216</v>
      </c>
      <c r="E169" t="s">
        <v>274</v>
      </c>
      <c r="F169" t="s">
        <v>143</v>
      </c>
      <c r="G169" t="s">
        <v>275</v>
      </c>
    </row>
    <row r="170" spans="3:7" x14ac:dyDescent="0.45">
      <c r="C170" t="s">
        <v>216</v>
      </c>
      <c r="E170" t="s">
        <v>276</v>
      </c>
      <c r="F170" t="s">
        <v>141</v>
      </c>
      <c r="G170" t="s">
        <v>277</v>
      </c>
    </row>
    <row r="171" spans="3:7" x14ac:dyDescent="0.45">
      <c r="C171" t="s">
        <v>216</v>
      </c>
      <c r="E171" t="s">
        <v>278</v>
      </c>
      <c r="F171" t="s">
        <v>143</v>
      </c>
      <c r="G171" t="s">
        <v>279</v>
      </c>
    </row>
    <row r="172" spans="3:7" x14ac:dyDescent="0.45">
      <c r="C172" t="s">
        <v>216</v>
      </c>
      <c r="E172" t="s">
        <v>280</v>
      </c>
      <c r="F172" t="s">
        <v>144</v>
      </c>
      <c r="G172" t="s">
        <v>281</v>
      </c>
    </row>
    <row r="173" spans="3:7" x14ac:dyDescent="0.45">
      <c r="C173" t="s">
        <v>216</v>
      </c>
      <c r="E173" t="s">
        <v>282</v>
      </c>
      <c r="F173" t="s">
        <v>215</v>
      </c>
      <c r="G173" t="s">
        <v>283</v>
      </c>
    </row>
    <row r="174" spans="3:7" x14ac:dyDescent="0.45">
      <c r="C174" t="s">
        <v>216</v>
      </c>
      <c r="E174" t="s">
        <v>284</v>
      </c>
      <c r="F174" t="s">
        <v>138</v>
      </c>
      <c r="G174" t="s">
        <v>285</v>
      </c>
    </row>
    <row r="175" spans="3:7" x14ac:dyDescent="0.45">
      <c r="C175" t="s">
        <v>216</v>
      </c>
      <c r="E175" t="s">
        <v>286</v>
      </c>
      <c r="F175" t="s">
        <v>139</v>
      </c>
      <c r="G175" t="s">
        <v>287</v>
      </c>
    </row>
    <row r="176" spans="3:7" x14ac:dyDescent="0.45">
      <c r="C176" t="s">
        <v>216</v>
      </c>
      <c r="E176" t="s">
        <v>288</v>
      </c>
      <c r="F176" t="s">
        <v>140</v>
      </c>
      <c r="G176" t="s">
        <v>289</v>
      </c>
    </row>
    <row r="177" spans="3:7" x14ac:dyDescent="0.45">
      <c r="C177" t="s">
        <v>216</v>
      </c>
      <c r="E177" t="s">
        <v>290</v>
      </c>
      <c r="F177" s="1" t="s">
        <v>264</v>
      </c>
      <c r="G177" t="s">
        <v>291</v>
      </c>
    </row>
    <row r="178" spans="3:7" x14ac:dyDescent="0.45">
      <c r="C178" t="s">
        <v>216</v>
      </c>
      <c r="E178" t="s">
        <v>292</v>
      </c>
      <c r="F178" s="1" t="s">
        <v>265</v>
      </c>
      <c r="G178" t="s">
        <v>293</v>
      </c>
    </row>
    <row r="179" spans="3:7" x14ac:dyDescent="0.45">
      <c r="C179" t="s">
        <v>216</v>
      </c>
      <c r="E179" t="s">
        <v>294</v>
      </c>
      <c r="F179" s="1" t="s">
        <v>218</v>
      </c>
      <c r="G179" t="s">
        <v>295</v>
      </c>
    </row>
    <row r="183" spans="3:7" x14ac:dyDescent="0.45">
      <c r="C183" t="s">
        <v>214</v>
      </c>
      <c r="E183" t="s">
        <v>268</v>
      </c>
      <c r="F183" t="s">
        <v>217</v>
      </c>
      <c r="G183" t="s">
        <v>296</v>
      </c>
    </row>
    <row r="184" spans="3:7" x14ac:dyDescent="0.45">
      <c r="C184" t="s">
        <v>214</v>
      </c>
      <c r="E184" t="s">
        <v>269</v>
      </c>
      <c r="F184" t="s">
        <v>57</v>
      </c>
      <c r="G184" t="s">
        <v>297</v>
      </c>
    </row>
    <row r="185" spans="3:7" x14ac:dyDescent="0.45">
      <c r="C185" t="s">
        <v>214</v>
      </c>
      <c r="E185" t="s">
        <v>270</v>
      </c>
      <c r="F185" t="s">
        <v>63</v>
      </c>
      <c r="G185" t="s">
        <v>298</v>
      </c>
    </row>
    <row r="188" spans="3:7" x14ac:dyDescent="0.45">
      <c r="E188" t="s">
        <v>230</v>
      </c>
    </row>
    <row r="189" spans="3:7" x14ac:dyDescent="0.45">
      <c r="E189" t="s">
        <v>304</v>
      </c>
    </row>
    <row r="190" spans="3:7" x14ac:dyDescent="0.45">
      <c r="E190" t="s">
        <v>305</v>
      </c>
    </row>
    <row r="191" spans="3:7" x14ac:dyDescent="0.45">
      <c r="E191" t="s">
        <v>300</v>
      </c>
    </row>
    <row r="192" spans="3:7" x14ac:dyDescent="0.45">
      <c r="E192" t="s">
        <v>229</v>
      </c>
    </row>
    <row r="194" spans="1:5" x14ac:dyDescent="0.45">
      <c r="C194" t="s">
        <v>313</v>
      </c>
      <c r="E194" t="s">
        <v>312</v>
      </c>
    </row>
    <row r="195" spans="1:5" x14ac:dyDescent="0.45">
      <c r="C195" t="s">
        <v>27</v>
      </c>
      <c r="D195" t="s">
        <v>228</v>
      </c>
      <c r="E195" t="s">
        <v>299</v>
      </c>
    </row>
    <row r="196" spans="1:5" x14ac:dyDescent="0.45">
      <c r="E196" t="s">
        <v>306</v>
      </c>
    </row>
    <row r="197" spans="1:5" x14ac:dyDescent="0.45">
      <c r="E197" t="s">
        <v>307</v>
      </c>
    </row>
    <row r="198" spans="1:5" x14ac:dyDescent="0.45">
      <c r="C198" t="s">
        <v>221</v>
      </c>
      <c r="E198" s="9" t="s">
        <v>308</v>
      </c>
    </row>
    <row r="199" spans="1:5" x14ac:dyDescent="0.45">
      <c r="C199" t="s">
        <v>222</v>
      </c>
      <c r="E199" t="s">
        <v>309</v>
      </c>
    </row>
    <row r="200" spans="1:5" x14ac:dyDescent="0.45">
      <c r="E200" t="s">
        <v>310</v>
      </c>
    </row>
    <row r="201" spans="1:5" x14ac:dyDescent="0.45">
      <c r="E201" t="s">
        <v>311</v>
      </c>
    </row>
    <row r="204" spans="1:5" x14ac:dyDescent="0.45">
      <c r="A204" s="9"/>
      <c r="B204" s="9"/>
    </row>
    <row r="205" spans="1:5" x14ac:dyDescent="0.45">
      <c r="A205" s="9"/>
      <c r="B205" s="9"/>
    </row>
    <row r="206" spans="1:5" x14ac:dyDescent="0.45">
      <c r="A206" s="9"/>
      <c r="B206" s="9"/>
    </row>
    <row r="207" spans="1:5" x14ac:dyDescent="0.45">
      <c r="E207" t="s">
        <v>301</v>
      </c>
    </row>
    <row r="208" spans="1:5" x14ac:dyDescent="0.45">
      <c r="E208" t="s">
        <v>302</v>
      </c>
    </row>
    <row r="209" spans="1:5" x14ac:dyDescent="0.45">
      <c r="E209" t="s">
        <v>303</v>
      </c>
    </row>
    <row r="211" spans="1:5" x14ac:dyDescent="0.45">
      <c r="E211" s="9"/>
    </row>
    <row r="216" spans="1:5" x14ac:dyDescent="0.45">
      <c r="A216" t="s">
        <v>226</v>
      </c>
    </row>
    <row r="217" spans="1:5" x14ac:dyDescent="0.45">
      <c r="A217" t="s">
        <v>227</v>
      </c>
    </row>
    <row r="220" spans="1:5" x14ac:dyDescent="0.45">
      <c r="A220" t="s">
        <v>219</v>
      </c>
    </row>
    <row r="221" spans="1:5" x14ac:dyDescent="0.45">
      <c r="A221" t="s">
        <v>220</v>
      </c>
    </row>
    <row r="223" spans="1:5" x14ac:dyDescent="0.45">
      <c r="A223" t="s">
        <v>223</v>
      </c>
    </row>
    <row r="224" spans="1:5" x14ac:dyDescent="0.45">
      <c r="A224" t="s">
        <v>224</v>
      </c>
    </row>
    <row r="225" spans="1:1" x14ac:dyDescent="0.45">
      <c r="A225" t="s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5765-65C0-4AAA-BA61-C8A26AE999D7}">
  <dimension ref="A1:P72"/>
  <sheetViews>
    <sheetView workbookViewId="0">
      <selection activeCell="F26" sqref="F26"/>
    </sheetView>
  </sheetViews>
  <sheetFormatPr defaultRowHeight="14.25" x14ac:dyDescent="0.45"/>
  <cols>
    <col min="1" max="1" width="16.46484375" customWidth="1"/>
    <col min="2" max="2" width="17.46484375" bestFit="1" customWidth="1"/>
    <col min="3" max="3" width="15.1328125" bestFit="1" customWidth="1"/>
    <col min="4" max="4" width="5.796875" bestFit="1" customWidth="1"/>
    <col min="5" max="5" width="29.19921875" bestFit="1" customWidth="1"/>
    <col min="6" max="6" width="43.46484375" bestFit="1" customWidth="1"/>
    <col min="7" max="7" width="43.46484375" customWidth="1"/>
    <col min="8" max="8" width="34.9296875" customWidth="1"/>
    <col min="9" max="9" width="31.3984375" bestFit="1" customWidth="1"/>
    <col min="10" max="10" width="15.73046875" bestFit="1" customWidth="1"/>
    <col min="11" max="11" width="24.265625" bestFit="1" customWidth="1"/>
    <col min="12" max="12" width="18.6640625" bestFit="1" customWidth="1"/>
    <col min="13" max="13" width="31.3984375" bestFit="1" customWidth="1"/>
    <col min="14" max="14" width="9" bestFit="1" customWidth="1"/>
    <col min="15" max="15" width="28.6640625" bestFit="1" customWidth="1"/>
    <col min="16" max="16" width="35.73046875" bestFit="1" customWidth="1"/>
  </cols>
  <sheetData>
    <row r="1" spans="1:15" ht="21" x14ac:dyDescent="0.65">
      <c r="A1" s="8" t="s">
        <v>173</v>
      </c>
      <c r="J1" t="s">
        <v>68</v>
      </c>
      <c r="N1" t="s">
        <v>68</v>
      </c>
      <c r="O1" t="s">
        <v>67</v>
      </c>
    </row>
    <row r="2" spans="1:15" ht="21" x14ac:dyDescent="0.65">
      <c r="A2" s="8" t="s">
        <v>174</v>
      </c>
    </row>
    <row r="3" spans="1:15" ht="21" x14ac:dyDescent="0.65">
      <c r="B3" s="8"/>
    </row>
    <row r="4" spans="1:15" s="1" customFormat="1" x14ac:dyDescent="0.45">
      <c r="A4" s="1" t="s">
        <v>171</v>
      </c>
      <c r="B4" s="1" t="s">
        <v>103</v>
      </c>
      <c r="C4" s="1" t="s">
        <v>91</v>
      </c>
      <c r="D4" s="1" t="s">
        <v>92</v>
      </c>
      <c r="E4" s="1" t="s">
        <v>98</v>
      </c>
      <c r="F4" s="1" t="s">
        <v>102</v>
      </c>
      <c r="H4" s="1" t="s">
        <v>136</v>
      </c>
      <c r="I4" s="1" t="s">
        <v>85</v>
      </c>
      <c r="J4" s="1" t="s">
        <v>76</v>
      </c>
      <c r="K4" s="1" t="s">
        <v>79</v>
      </c>
      <c r="L4" s="1" t="s">
        <v>3</v>
      </c>
      <c r="M4" s="1" t="s">
        <v>81</v>
      </c>
      <c r="N4" s="1" t="s">
        <v>2</v>
      </c>
      <c r="O4" s="1" t="s">
        <v>3</v>
      </c>
    </row>
    <row r="5" spans="1:15" x14ac:dyDescent="0.45">
      <c r="A5" t="s">
        <v>74</v>
      </c>
      <c r="B5" t="s">
        <v>172</v>
      </c>
      <c r="E5" t="s">
        <v>5</v>
      </c>
      <c r="I5" t="s">
        <v>70</v>
      </c>
      <c r="J5" t="s">
        <v>6</v>
      </c>
      <c r="K5" t="s">
        <v>78</v>
      </c>
      <c r="L5" t="s">
        <v>74</v>
      </c>
      <c r="M5" t="s">
        <v>72</v>
      </c>
      <c r="N5" t="s">
        <v>6</v>
      </c>
      <c r="O5" t="s">
        <v>7</v>
      </c>
    </row>
    <row r="6" spans="1:15" x14ac:dyDescent="0.45">
      <c r="A6" t="s">
        <v>74</v>
      </c>
      <c r="B6" t="s">
        <v>8</v>
      </c>
      <c r="I6" t="s">
        <v>70</v>
      </c>
      <c r="J6" t="s">
        <v>6</v>
      </c>
      <c r="K6" t="s">
        <v>7</v>
      </c>
      <c r="L6" t="s">
        <v>74</v>
      </c>
      <c r="M6" t="s">
        <v>72</v>
      </c>
      <c r="N6" t="s">
        <v>6</v>
      </c>
      <c r="O6" t="s">
        <v>7</v>
      </c>
    </row>
    <row r="7" spans="1:15" x14ac:dyDescent="0.45">
      <c r="A7" s="16" t="s">
        <v>77</v>
      </c>
      <c r="B7" s="16" t="s">
        <v>86</v>
      </c>
      <c r="C7" s="16"/>
      <c r="D7" s="9"/>
      <c r="E7" s="9"/>
      <c r="F7" s="9"/>
      <c r="G7" s="9"/>
      <c r="I7" t="s">
        <v>87</v>
      </c>
      <c r="J7" t="s">
        <v>6</v>
      </c>
      <c r="K7" t="s">
        <v>78</v>
      </c>
      <c r="L7" t="s">
        <v>74</v>
      </c>
      <c r="M7" t="s">
        <v>72</v>
      </c>
      <c r="N7" t="s">
        <v>6</v>
      </c>
      <c r="O7" t="s">
        <v>7</v>
      </c>
    </row>
    <row r="8" spans="1:15" ht="14.65" thickBot="1" x14ac:dyDescent="0.5"/>
    <row r="9" spans="1:15" x14ac:dyDescent="0.45">
      <c r="A9" s="28" t="s">
        <v>74</v>
      </c>
      <c r="B9" s="29" t="s">
        <v>14</v>
      </c>
      <c r="C9" s="29" t="s">
        <v>89</v>
      </c>
      <c r="D9" s="29" t="s">
        <v>93</v>
      </c>
      <c r="E9" s="29" t="str">
        <f>C9&amp;"-"&amp;D9&amp;"-"&amp;B9</f>
        <v>incoming-ball-spin</v>
      </c>
      <c r="F9" s="30" t="s">
        <v>138</v>
      </c>
      <c r="I9" t="s">
        <v>70</v>
      </c>
      <c r="J9" t="s">
        <v>7</v>
      </c>
      <c r="K9" t="s">
        <v>7</v>
      </c>
      <c r="L9" t="s">
        <v>74</v>
      </c>
      <c r="M9" t="s">
        <v>80</v>
      </c>
      <c r="N9" t="s">
        <v>15</v>
      </c>
      <c r="O9" t="s">
        <v>16</v>
      </c>
    </row>
    <row r="10" spans="1:15" x14ac:dyDescent="0.45">
      <c r="A10" s="31" t="s">
        <v>74</v>
      </c>
      <c r="B10" s="32" t="s">
        <v>17</v>
      </c>
      <c r="C10" s="32" t="s">
        <v>89</v>
      </c>
      <c r="D10" s="32" t="s">
        <v>93</v>
      </c>
      <c r="E10" s="32" t="str">
        <f t="shared" ref="E10:E26" si="0">C10&amp;"-"&amp;D10&amp;"-"&amp;B10</f>
        <v>incoming-ball-speed</v>
      </c>
      <c r="F10" s="33" t="s">
        <v>139</v>
      </c>
      <c r="I10" t="s">
        <v>70</v>
      </c>
      <c r="J10" t="s">
        <v>7</v>
      </c>
      <c r="K10" t="s">
        <v>7</v>
      </c>
      <c r="L10" t="s">
        <v>74</v>
      </c>
      <c r="M10" t="s">
        <v>80</v>
      </c>
      <c r="N10" t="s">
        <v>15</v>
      </c>
      <c r="O10" t="s">
        <v>18</v>
      </c>
    </row>
    <row r="11" spans="1:15" x14ac:dyDescent="0.45">
      <c r="A11" s="31" t="s">
        <v>74</v>
      </c>
      <c r="B11" s="32" t="s">
        <v>97</v>
      </c>
      <c r="C11" s="32" t="s">
        <v>89</v>
      </c>
      <c r="D11" s="32" t="s">
        <v>93</v>
      </c>
      <c r="E11" s="32" t="str">
        <f t="shared" si="0"/>
        <v>incoming-ball-arc</v>
      </c>
      <c r="F11" s="33" t="s">
        <v>140</v>
      </c>
      <c r="I11" t="s">
        <v>70</v>
      </c>
      <c r="J11" t="s">
        <v>7</v>
      </c>
      <c r="K11" t="s">
        <v>7</v>
      </c>
      <c r="L11" t="s">
        <v>74</v>
      </c>
      <c r="M11" t="s">
        <v>80</v>
      </c>
      <c r="N11" t="s">
        <v>15</v>
      </c>
      <c r="O11" t="s">
        <v>20</v>
      </c>
    </row>
    <row r="12" spans="1:15" x14ac:dyDescent="0.45">
      <c r="A12" s="31" t="s">
        <v>74</v>
      </c>
      <c r="B12" s="32" t="s">
        <v>88</v>
      </c>
      <c r="C12" s="32" t="s">
        <v>89</v>
      </c>
      <c r="D12" s="32" t="s">
        <v>93</v>
      </c>
      <c r="E12" s="32" t="str">
        <f t="shared" si="0"/>
        <v>incoming-ball-destination</v>
      </c>
      <c r="F12" s="33" t="s">
        <v>141</v>
      </c>
      <c r="G12" s="32" t="s">
        <v>195</v>
      </c>
      <c r="I12" t="s">
        <v>70</v>
      </c>
      <c r="J12" t="s">
        <v>7</v>
      </c>
      <c r="K12" t="s">
        <v>7</v>
      </c>
      <c r="L12" t="s">
        <v>74</v>
      </c>
      <c r="M12" t="s">
        <v>80</v>
      </c>
      <c r="N12" t="s">
        <v>15</v>
      </c>
      <c r="O12" t="s">
        <v>22</v>
      </c>
    </row>
    <row r="13" spans="1:15" x14ac:dyDescent="0.45">
      <c r="A13" s="31" t="s">
        <v>74</v>
      </c>
      <c r="B13" s="32" t="s">
        <v>38</v>
      </c>
      <c r="C13" s="32" t="s">
        <v>89</v>
      </c>
      <c r="D13" s="32" t="s">
        <v>93</v>
      </c>
      <c r="E13" s="32" t="str">
        <f t="shared" si="0"/>
        <v>incoming-ball-depth</v>
      </c>
      <c r="F13" s="33" t="s">
        <v>142</v>
      </c>
      <c r="I13" t="s">
        <v>70</v>
      </c>
      <c r="J13" t="s">
        <v>7</v>
      </c>
      <c r="K13" t="s">
        <v>7</v>
      </c>
      <c r="L13" t="s">
        <v>74</v>
      </c>
      <c r="M13" t="s">
        <v>80</v>
      </c>
      <c r="N13" t="s">
        <v>15</v>
      </c>
      <c r="O13" t="s">
        <v>22</v>
      </c>
    </row>
    <row r="14" spans="1:15" x14ac:dyDescent="0.45">
      <c r="A14" s="31" t="s">
        <v>74</v>
      </c>
      <c r="B14" s="32" t="s">
        <v>24</v>
      </c>
      <c r="C14" s="32" t="s">
        <v>89</v>
      </c>
      <c r="D14" s="32" t="s">
        <v>94</v>
      </c>
      <c r="E14" s="32" t="str">
        <f t="shared" si="0"/>
        <v>incoming-player-position</v>
      </c>
      <c r="F14" s="33" t="s">
        <v>141</v>
      </c>
      <c r="I14" t="s">
        <v>70</v>
      </c>
      <c r="J14" t="s">
        <v>7</v>
      </c>
      <c r="K14" t="s">
        <v>7</v>
      </c>
      <c r="L14" t="s">
        <v>74</v>
      </c>
      <c r="M14" t="s">
        <v>82</v>
      </c>
      <c r="N14" t="s">
        <v>15</v>
      </c>
      <c r="O14" t="s">
        <v>25</v>
      </c>
    </row>
    <row r="15" spans="1:15" ht="14.65" thickBot="1" x14ac:dyDescent="0.5">
      <c r="A15" s="34" t="s">
        <v>74</v>
      </c>
      <c r="B15" s="35" t="s">
        <v>96</v>
      </c>
      <c r="C15" s="35" t="s">
        <v>89</v>
      </c>
      <c r="D15" s="35" t="s">
        <v>94</v>
      </c>
      <c r="E15" s="35" t="str">
        <f t="shared" si="0"/>
        <v>incoming-player-distanceFromTable</v>
      </c>
      <c r="F15" s="36" t="s">
        <v>143</v>
      </c>
      <c r="I15" t="s">
        <v>70</v>
      </c>
      <c r="J15" t="s">
        <v>7</v>
      </c>
      <c r="K15" t="s">
        <v>7</v>
      </c>
      <c r="L15" t="s">
        <v>74</v>
      </c>
      <c r="M15" t="s">
        <v>82</v>
      </c>
      <c r="N15" t="s">
        <v>15</v>
      </c>
      <c r="O15" t="s">
        <v>25</v>
      </c>
    </row>
    <row r="16" spans="1:15" x14ac:dyDescent="0.45">
      <c r="A16" s="19" t="s">
        <v>74</v>
      </c>
      <c r="B16" s="20" t="s">
        <v>24</v>
      </c>
      <c r="C16" s="20" t="s">
        <v>99</v>
      </c>
      <c r="D16" s="20" t="s">
        <v>94</v>
      </c>
      <c r="E16" s="20" t="str">
        <f t="shared" si="0"/>
        <v>contact-player-position</v>
      </c>
      <c r="F16" s="21" t="s">
        <v>141</v>
      </c>
      <c r="I16" t="s">
        <v>70</v>
      </c>
      <c r="J16" t="s">
        <v>7</v>
      </c>
      <c r="K16" t="s">
        <v>7</v>
      </c>
      <c r="L16" t="s">
        <v>74</v>
      </c>
      <c r="M16" t="s">
        <v>83</v>
      </c>
      <c r="N16" t="s">
        <v>15</v>
      </c>
      <c r="O16" t="s">
        <v>25</v>
      </c>
    </row>
    <row r="17" spans="1:15" x14ac:dyDescent="0.45">
      <c r="A17" s="22" t="s">
        <v>74</v>
      </c>
      <c r="B17" s="23" t="s">
        <v>96</v>
      </c>
      <c r="C17" s="23" t="s">
        <v>99</v>
      </c>
      <c r="D17" s="23" t="s">
        <v>94</v>
      </c>
      <c r="E17" s="23" t="str">
        <f t="shared" si="0"/>
        <v>contact-player-distanceFromTable</v>
      </c>
      <c r="F17" s="24" t="s">
        <v>143</v>
      </c>
      <c r="I17" t="s">
        <v>70</v>
      </c>
      <c r="J17" t="s">
        <v>7</v>
      </c>
      <c r="K17" t="s">
        <v>7</v>
      </c>
      <c r="L17" t="s">
        <v>74</v>
      </c>
      <c r="M17" t="s">
        <v>83</v>
      </c>
      <c r="N17" t="s">
        <v>15</v>
      </c>
      <c r="O17" t="s">
        <v>25</v>
      </c>
    </row>
    <row r="18" spans="1:15" x14ac:dyDescent="0.45">
      <c r="A18" s="22" t="s">
        <v>74</v>
      </c>
      <c r="B18" s="23" t="s">
        <v>27</v>
      </c>
      <c r="C18" s="23" t="s">
        <v>99</v>
      </c>
      <c r="D18" s="23" t="s">
        <v>94</v>
      </c>
      <c r="E18" s="23" t="str">
        <f t="shared" si="0"/>
        <v>contact-player-wing</v>
      </c>
      <c r="F18" s="24" t="s">
        <v>144</v>
      </c>
      <c r="I18" t="s">
        <v>70</v>
      </c>
      <c r="K18" t="s">
        <v>84</v>
      </c>
      <c r="N18" t="s">
        <v>6</v>
      </c>
      <c r="O18" t="s">
        <v>7</v>
      </c>
    </row>
    <row r="19" spans="1:15" x14ac:dyDescent="0.45">
      <c r="A19" s="22" t="s">
        <v>74</v>
      </c>
      <c r="B19" s="23" t="s">
        <v>28</v>
      </c>
      <c r="C19" s="23" t="s">
        <v>99</v>
      </c>
      <c r="D19" s="23" t="s">
        <v>94</v>
      </c>
      <c r="E19" s="23" t="str">
        <f t="shared" si="0"/>
        <v>contact-player-shotType</v>
      </c>
      <c r="F19" s="24" t="s">
        <v>145</v>
      </c>
      <c r="I19" t="s">
        <v>70</v>
      </c>
      <c r="K19" t="s">
        <v>7</v>
      </c>
      <c r="M19" t="str">
        <f>B5&amp;", for serve, other data"</f>
        <v>shot_number, for serve, other data</v>
      </c>
      <c r="N19" t="s">
        <v>15</v>
      </c>
      <c r="O19" t="s">
        <v>29</v>
      </c>
    </row>
    <row r="20" spans="1:15" x14ac:dyDescent="0.45">
      <c r="A20" s="22" t="s">
        <v>74</v>
      </c>
      <c r="B20" s="23" t="s">
        <v>14</v>
      </c>
      <c r="C20" s="23" t="s">
        <v>90</v>
      </c>
      <c r="D20" s="23" t="s">
        <v>93</v>
      </c>
      <c r="E20" s="23" t="str">
        <f t="shared" si="0"/>
        <v>outgoing-ball-spin</v>
      </c>
      <c r="F20" s="24" t="s">
        <v>138</v>
      </c>
      <c r="H20" t="s">
        <v>74</v>
      </c>
      <c r="I20" t="s">
        <v>70</v>
      </c>
      <c r="K20" t="s">
        <v>7</v>
      </c>
      <c r="N20" t="s">
        <v>15</v>
      </c>
      <c r="O20" t="s">
        <v>35</v>
      </c>
    </row>
    <row r="21" spans="1:15" x14ac:dyDescent="0.45">
      <c r="A21" s="22" t="s">
        <v>74</v>
      </c>
      <c r="B21" s="23" t="s">
        <v>17</v>
      </c>
      <c r="C21" s="23" t="s">
        <v>90</v>
      </c>
      <c r="D21" s="23" t="s">
        <v>93</v>
      </c>
      <c r="E21" s="23" t="str">
        <f t="shared" si="0"/>
        <v>outgoing-ball-speed</v>
      </c>
      <c r="F21" s="24" t="s">
        <v>139</v>
      </c>
      <c r="G21" s="38" t="s">
        <v>196</v>
      </c>
      <c r="H21" t="s">
        <v>74</v>
      </c>
      <c r="I21" t="s">
        <v>75</v>
      </c>
      <c r="N21" t="s">
        <v>6</v>
      </c>
      <c r="O21" t="s">
        <v>7</v>
      </c>
    </row>
    <row r="22" spans="1:15" x14ac:dyDescent="0.45">
      <c r="A22" s="22" t="s">
        <v>74</v>
      </c>
      <c r="B22" s="23" t="s">
        <v>97</v>
      </c>
      <c r="C22" s="23" t="s">
        <v>90</v>
      </c>
      <c r="D22" s="23" t="s">
        <v>93</v>
      </c>
      <c r="E22" s="23" t="str">
        <f t="shared" si="0"/>
        <v>outgoing-ball-arc</v>
      </c>
      <c r="F22" s="24" t="s">
        <v>140</v>
      </c>
      <c r="H22" t="s">
        <v>74</v>
      </c>
      <c r="I22" t="s">
        <v>75</v>
      </c>
      <c r="N22" t="s">
        <v>6</v>
      </c>
      <c r="O22" t="s">
        <v>7</v>
      </c>
    </row>
    <row r="23" spans="1:15" x14ac:dyDescent="0.45">
      <c r="A23" s="39" t="s">
        <v>74</v>
      </c>
      <c r="B23" s="40" t="s">
        <v>88</v>
      </c>
      <c r="C23" s="40" t="s">
        <v>90</v>
      </c>
      <c r="D23" s="40" t="s">
        <v>93</v>
      </c>
      <c r="E23" s="40" t="str">
        <f t="shared" si="0"/>
        <v>outgoing-ball-destination</v>
      </c>
      <c r="F23" s="41" t="s">
        <v>197</v>
      </c>
      <c r="H23" s="1" t="s">
        <v>74</v>
      </c>
      <c r="K23" t="s">
        <v>74</v>
      </c>
      <c r="N23" t="s">
        <v>6</v>
      </c>
      <c r="O23" t="s">
        <v>7</v>
      </c>
    </row>
    <row r="24" spans="1:15" x14ac:dyDescent="0.45">
      <c r="A24" s="39" t="s">
        <v>74</v>
      </c>
      <c r="B24" s="40" t="s">
        <v>38</v>
      </c>
      <c r="C24" s="40" t="s">
        <v>90</v>
      </c>
      <c r="D24" s="40" t="s">
        <v>93</v>
      </c>
      <c r="E24" s="40" t="str">
        <f t="shared" si="0"/>
        <v>outgoing-ball-depth</v>
      </c>
      <c r="F24" s="41" t="s">
        <v>198</v>
      </c>
      <c r="H24" t="s">
        <v>77</v>
      </c>
      <c r="I24" t="s">
        <v>75</v>
      </c>
      <c r="N24" t="s">
        <v>6</v>
      </c>
      <c r="O24" t="s">
        <v>7</v>
      </c>
    </row>
    <row r="25" spans="1:15" x14ac:dyDescent="0.45">
      <c r="A25" s="22" t="s">
        <v>74</v>
      </c>
      <c r="B25" s="23" t="s">
        <v>24</v>
      </c>
      <c r="C25" s="23" t="s">
        <v>90</v>
      </c>
      <c r="D25" s="23" t="s">
        <v>94</v>
      </c>
      <c r="E25" s="23" t="str">
        <f t="shared" si="0"/>
        <v>outgoing-player-position</v>
      </c>
      <c r="F25" s="24" t="s">
        <v>141</v>
      </c>
      <c r="H25" t="s">
        <v>77</v>
      </c>
      <c r="I25" t="s">
        <v>71</v>
      </c>
      <c r="N25" t="s">
        <v>15</v>
      </c>
      <c r="O25" t="s">
        <v>41</v>
      </c>
    </row>
    <row r="26" spans="1:15" ht="14.65" thickBot="1" x14ac:dyDescent="0.5">
      <c r="A26" s="25" t="s">
        <v>74</v>
      </c>
      <c r="B26" s="26" t="s">
        <v>96</v>
      </c>
      <c r="C26" s="26" t="s">
        <v>90</v>
      </c>
      <c r="D26" s="26" t="s">
        <v>94</v>
      </c>
      <c r="E26" s="26" t="str">
        <f t="shared" si="0"/>
        <v>outgoing-player-distanceFromTable</v>
      </c>
      <c r="F26" s="27" t="s">
        <v>143</v>
      </c>
      <c r="H26" t="s">
        <v>77</v>
      </c>
    </row>
    <row r="28" spans="1:15" x14ac:dyDescent="0.45">
      <c r="A28" s="9" t="s">
        <v>77</v>
      </c>
      <c r="B28" s="13" t="s">
        <v>43</v>
      </c>
      <c r="C28" s="9" t="s">
        <v>170</v>
      </c>
      <c r="D28" s="9"/>
      <c r="E28" s="9" t="s">
        <v>137</v>
      </c>
      <c r="F28" s="9" t="s">
        <v>146</v>
      </c>
      <c r="G28" s="9"/>
      <c r="N28" t="s">
        <v>44</v>
      </c>
      <c r="O28" t="s">
        <v>45</v>
      </c>
    </row>
    <row r="29" spans="1:15" x14ac:dyDescent="0.45">
      <c r="A29" s="14" t="s">
        <v>74</v>
      </c>
      <c r="B29" s="14" t="s">
        <v>46</v>
      </c>
      <c r="C29" s="14"/>
      <c r="D29" s="14"/>
      <c r="E29" s="14"/>
      <c r="F29" s="15" t="s">
        <v>175</v>
      </c>
      <c r="G29" s="15"/>
      <c r="H29" s="3" t="s">
        <v>177</v>
      </c>
      <c r="I29" s="3" t="s">
        <v>58</v>
      </c>
      <c r="N29" t="s">
        <v>44</v>
      </c>
      <c r="O29" t="s">
        <v>47</v>
      </c>
    </row>
    <row r="30" spans="1:15" x14ac:dyDescent="0.45">
      <c r="A30" s="14" t="s">
        <v>74</v>
      </c>
      <c r="B30" s="14" t="s">
        <v>48</v>
      </c>
      <c r="C30" s="14"/>
      <c r="D30" s="14"/>
      <c r="E30" s="14"/>
      <c r="F30" s="17" t="s">
        <v>175</v>
      </c>
      <c r="G30" s="17"/>
      <c r="N30" t="s">
        <v>44</v>
      </c>
      <c r="O30" t="s">
        <v>49</v>
      </c>
    </row>
    <row r="31" spans="1:15" x14ac:dyDescent="0.45">
      <c r="A31" s="14" t="s">
        <v>74</v>
      </c>
      <c r="B31" s="14" t="s">
        <v>176</v>
      </c>
      <c r="F31" s="17" t="s">
        <v>175</v>
      </c>
      <c r="G31" s="17"/>
    </row>
    <row r="32" spans="1:15" x14ac:dyDescent="0.45">
      <c r="B32" s="1"/>
      <c r="D32" s="5"/>
    </row>
    <row r="33" spans="1:16" s="1" customFormat="1" x14ac:dyDescent="0.45">
      <c r="B33" s="2" t="s">
        <v>100</v>
      </c>
      <c r="C33" s="2" t="s">
        <v>101</v>
      </c>
      <c r="D33" s="6" t="s">
        <v>51</v>
      </c>
      <c r="P33" s="1" t="s">
        <v>51</v>
      </c>
    </row>
    <row r="34" spans="1:16" x14ac:dyDescent="0.45">
      <c r="A34" t="s">
        <v>74</v>
      </c>
      <c r="B34" s="3" t="s">
        <v>52</v>
      </c>
      <c r="C34" s="4" t="s">
        <v>53</v>
      </c>
      <c r="D34" s="7"/>
      <c r="F34" s="7" t="s">
        <v>54</v>
      </c>
      <c r="G34" s="7"/>
      <c r="P34" t="s">
        <v>54</v>
      </c>
    </row>
    <row r="35" spans="1:16" x14ac:dyDescent="0.45">
      <c r="A35" t="s">
        <v>74</v>
      </c>
      <c r="B35" s="3" t="s">
        <v>55</v>
      </c>
      <c r="C35" s="4" t="s">
        <v>56</v>
      </c>
      <c r="D35" s="7"/>
      <c r="F35" s="7" t="s">
        <v>57</v>
      </c>
      <c r="G35" s="7"/>
      <c r="H35" t="s">
        <v>178</v>
      </c>
      <c r="I35" s="1" t="s">
        <v>133</v>
      </c>
      <c r="J35" t="s">
        <v>134</v>
      </c>
      <c r="P35" t="s">
        <v>57</v>
      </c>
    </row>
    <row r="36" spans="1:16" x14ac:dyDescent="0.45">
      <c r="A36" s="9" t="s">
        <v>77</v>
      </c>
      <c r="B36" s="10" t="s">
        <v>58</v>
      </c>
      <c r="C36" s="11" t="s">
        <v>59</v>
      </c>
      <c r="D36" s="12"/>
      <c r="E36" s="9"/>
      <c r="F36" s="12" t="s">
        <v>60</v>
      </c>
      <c r="G36" s="12"/>
      <c r="J36" t="s">
        <v>135</v>
      </c>
      <c r="P36" t="s">
        <v>60</v>
      </c>
    </row>
    <row r="37" spans="1:16" x14ac:dyDescent="0.45">
      <c r="A37" t="s">
        <v>74</v>
      </c>
      <c r="B37" s="3" t="s">
        <v>61</v>
      </c>
      <c r="C37" s="4" t="s">
        <v>62</v>
      </c>
      <c r="D37" s="7"/>
      <c r="F37" s="7" t="s">
        <v>63</v>
      </c>
      <c r="G37" s="7"/>
      <c r="P37" t="s">
        <v>63</v>
      </c>
    </row>
    <row r="38" spans="1:16" x14ac:dyDescent="0.45">
      <c r="A38" t="s">
        <v>74</v>
      </c>
      <c r="B38" s="3" t="s">
        <v>64</v>
      </c>
      <c r="C38" s="4" t="s">
        <v>65</v>
      </c>
      <c r="D38" s="7"/>
      <c r="F38" s="7" t="s">
        <v>66</v>
      </c>
      <c r="G38" s="7"/>
      <c r="P38" t="s">
        <v>66</v>
      </c>
    </row>
    <row r="39" spans="1:16" x14ac:dyDescent="0.45">
      <c r="A39" t="s">
        <v>74</v>
      </c>
      <c r="B39" s="3" t="s">
        <v>104</v>
      </c>
      <c r="D39" s="5"/>
    </row>
    <row r="40" spans="1:16" x14ac:dyDescent="0.45">
      <c r="D40" s="5"/>
    </row>
    <row r="42" spans="1:16" x14ac:dyDescent="0.45">
      <c r="B42" t="s">
        <v>108</v>
      </c>
      <c r="F42" s="1" t="s">
        <v>169</v>
      </c>
    </row>
    <row r="43" spans="1:16" x14ac:dyDescent="0.45">
      <c r="B43" t="s">
        <v>109</v>
      </c>
      <c r="F43" s="1" t="s">
        <v>160</v>
      </c>
      <c r="G43" s="1"/>
    </row>
    <row r="44" spans="1:16" x14ac:dyDescent="0.45">
      <c r="B44" t="s">
        <v>110</v>
      </c>
      <c r="F44" s="1" t="s">
        <v>161</v>
      </c>
      <c r="G44" s="1"/>
    </row>
    <row r="45" spans="1:16" x14ac:dyDescent="0.45">
      <c r="B45" t="s">
        <v>111</v>
      </c>
    </row>
    <row r="46" spans="1:16" x14ac:dyDescent="0.45">
      <c r="B46" t="s">
        <v>112</v>
      </c>
    </row>
    <row r="47" spans="1:16" x14ac:dyDescent="0.45">
      <c r="B47" t="s">
        <v>113</v>
      </c>
    </row>
    <row r="49" spans="2:2" x14ac:dyDescent="0.45">
      <c r="B49" t="s">
        <v>105</v>
      </c>
    </row>
    <row r="50" spans="2:2" x14ac:dyDescent="0.45">
      <c r="B50" t="s">
        <v>114</v>
      </c>
    </row>
    <row r="51" spans="2:2" x14ac:dyDescent="0.45">
      <c r="B51" t="s">
        <v>115</v>
      </c>
    </row>
    <row r="52" spans="2:2" x14ac:dyDescent="0.45">
      <c r="B52" t="s">
        <v>116</v>
      </c>
    </row>
    <row r="53" spans="2:2" x14ac:dyDescent="0.45">
      <c r="B53" t="s">
        <v>117</v>
      </c>
    </row>
    <row r="54" spans="2:2" x14ac:dyDescent="0.45">
      <c r="B54" t="s">
        <v>118</v>
      </c>
    </row>
    <row r="56" spans="2:2" x14ac:dyDescent="0.45">
      <c r="B56" t="s">
        <v>106</v>
      </c>
    </row>
    <row r="57" spans="2:2" x14ac:dyDescent="0.45">
      <c r="B57" t="s">
        <v>119</v>
      </c>
    </row>
    <row r="58" spans="2:2" x14ac:dyDescent="0.45">
      <c r="B58" t="s">
        <v>120</v>
      </c>
    </row>
    <row r="59" spans="2:2" x14ac:dyDescent="0.45">
      <c r="B59" t="s">
        <v>121</v>
      </c>
    </row>
    <row r="60" spans="2:2" x14ac:dyDescent="0.45">
      <c r="B60" t="s">
        <v>122</v>
      </c>
    </row>
    <row r="62" spans="2:2" x14ac:dyDescent="0.45">
      <c r="B62" t="s">
        <v>107</v>
      </c>
    </row>
    <row r="63" spans="2:2" x14ac:dyDescent="0.45">
      <c r="B63" t="s">
        <v>123</v>
      </c>
    </row>
    <row r="64" spans="2:2" x14ac:dyDescent="0.45">
      <c r="B64" t="s">
        <v>124</v>
      </c>
    </row>
    <row r="65" spans="2:2" x14ac:dyDescent="0.45">
      <c r="B65" t="s">
        <v>125</v>
      </c>
    </row>
    <row r="66" spans="2:2" x14ac:dyDescent="0.45">
      <c r="B66" t="s">
        <v>126</v>
      </c>
    </row>
    <row r="67" spans="2:2" x14ac:dyDescent="0.45">
      <c r="B67" t="s">
        <v>127</v>
      </c>
    </row>
    <row r="68" spans="2:2" x14ac:dyDescent="0.45">
      <c r="B68" t="s">
        <v>128</v>
      </c>
    </row>
    <row r="69" spans="2:2" x14ac:dyDescent="0.45">
      <c r="B69" t="s">
        <v>129</v>
      </c>
    </row>
    <row r="70" spans="2:2" x14ac:dyDescent="0.45">
      <c r="B70" t="s">
        <v>130</v>
      </c>
    </row>
    <row r="71" spans="2:2" x14ac:dyDescent="0.45">
      <c r="B71" t="s">
        <v>131</v>
      </c>
    </row>
    <row r="72" spans="2:2" x14ac:dyDescent="0.45">
      <c r="B72" t="s">
        <v>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43F5-E026-4381-8B97-7733C8B69F90}">
  <dimension ref="A1:A24"/>
  <sheetViews>
    <sheetView workbookViewId="0">
      <selection activeCell="A11" sqref="A11"/>
    </sheetView>
  </sheetViews>
  <sheetFormatPr defaultRowHeight="14.25" x14ac:dyDescent="0.45"/>
  <sheetData>
    <row r="1" spans="1:1" x14ac:dyDescent="0.45">
      <c r="A1" t="s">
        <v>108</v>
      </c>
    </row>
    <row r="2" spans="1:1" x14ac:dyDescent="0.45">
      <c r="A2" t="s">
        <v>147</v>
      </c>
    </row>
    <row r="3" spans="1:1" x14ac:dyDescent="0.45">
      <c r="A3" t="s">
        <v>148</v>
      </c>
    </row>
    <row r="4" spans="1:1" x14ac:dyDescent="0.45">
      <c r="A4" t="s">
        <v>110</v>
      </c>
    </row>
    <row r="5" spans="1:1" x14ac:dyDescent="0.45">
      <c r="A5" t="s">
        <v>149</v>
      </c>
    </row>
    <row r="6" spans="1:1" x14ac:dyDescent="0.45">
      <c r="A6" t="s">
        <v>150</v>
      </c>
    </row>
    <row r="7" spans="1:1" x14ac:dyDescent="0.45">
      <c r="A7" t="s">
        <v>151</v>
      </c>
    </row>
    <row r="8" spans="1:1" x14ac:dyDescent="0.45">
      <c r="A8" t="s">
        <v>152</v>
      </c>
    </row>
    <row r="9" spans="1:1" x14ac:dyDescent="0.45">
      <c r="A9" t="s">
        <v>153</v>
      </c>
    </row>
    <row r="10" spans="1:1" x14ac:dyDescent="0.45">
      <c r="A10" t="s">
        <v>154</v>
      </c>
    </row>
    <row r="11" spans="1:1" x14ac:dyDescent="0.45">
      <c r="A11" t="s">
        <v>155</v>
      </c>
    </row>
    <row r="12" spans="1:1" x14ac:dyDescent="0.45">
      <c r="A12" t="s">
        <v>156</v>
      </c>
    </row>
    <row r="13" spans="1:1" x14ac:dyDescent="0.45">
      <c r="A13" t="s">
        <v>157</v>
      </c>
    </row>
    <row r="14" spans="1:1" x14ac:dyDescent="0.45">
      <c r="A14" t="s">
        <v>158</v>
      </c>
    </row>
    <row r="15" spans="1:1" x14ac:dyDescent="0.45">
      <c r="A15" t="s">
        <v>159</v>
      </c>
    </row>
    <row r="16" spans="1:1" x14ac:dyDescent="0.45">
      <c r="A16" s="1" t="s">
        <v>160</v>
      </c>
    </row>
    <row r="17" spans="1:1" x14ac:dyDescent="0.45">
      <c r="A17" s="1" t="s">
        <v>161</v>
      </c>
    </row>
    <row r="18" spans="1:1" x14ac:dyDescent="0.45">
      <c r="A18" t="s">
        <v>162</v>
      </c>
    </row>
    <row r="19" spans="1:1" x14ac:dyDescent="0.45">
      <c r="A19" t="s">
        <v>163</v>
      </c>
    </row>
    <row r="20" spans="1:1" x14ac:dyDescent="0.45">
      <c r="A20" t="s">
        <v>164</v>
      </c>
    </row>
    <row r="21" spans="1:1" x14ac:dyDescent="0.45">
      <c r="A21" t="s">
        <v>165</v>
      </c>
    </row>
    <row r="22" spans="1:1" x14ac:dyDescent="0.45">
      <c r="A22" t="s">
        <v>166</v>
      </c>
    </row>
    <row r="23" spans="1:1" x14ac:dyDescent="0.45">
      <c r="A23" t="s">
        <v>167</v>
      </c>
    </row>
    <row r="24" spans="1:1" x14ac:dyDescent="0.45">
      <c r="A24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F21" sqref="F21"/>
    </sheetView>
  </sheetViews>
  <sheetFormatPr defaultRowHeight="14.25" x14ac:dyDescent="0.45"/>
  <cols>
    <col min="1" max="1" width="15.59765625" bestFit="1" customWidth="1"/>
    <col min="2" max="2" width="15.1328125" bestFit="1" customWidth="1"/>
    <col min="3" max="3" width="9" bestFit="1" customWidth="1"/>
    <col min="4" max="4" width="15.73046875" bestFit="1" customWidth="1"/>
    <col min="5" max="5" width="24.265625" bestFit="1" customWidth="1"/>
    <col min="6" max="6" width="24.265625" customWidth="1"/>
    <col min="7" max="7" width="30.73046875" bestFit="1" customWidth="1"/>
    <col min="8" max="8" width="9" bestFit="1" customWidth="1"/>
    <col min="9" max="9" width="35.73046875" bestFit="1" customWidth="1"/>
  </cols>
  <sheetData>
    <row r="1" spans="1:9" x14ac:dyDescent="0.45">
      <c r="C1" t="s">
        <v>68</v>
      </c>
      <c r="G1" t="s">
        <v>68</v>
      </c>
      <c r="H1" t="s">
        <v>67</v>
      </c>
    </row>
    <row r="2" spans="1:9" s="1" customFormat="1" x14ac:dyDescent="0.45">
      <c r="A2" s="1" t="s">
        <v>0</v>
      </c>
      <c r="B2" s="1" t="s">
        <v>1</v>
      </c>
      <c r="C2" s="1" t="s">
        <v>2</v>
      </c>
      <c r="D2" s="1" t="s">
        <v>76</v>
      </c>
      <c r="E2" s="1" t="s">
        <v>79</v>
      </c>
      <c r="F2" s="1" t="s">
        <v>3</v>
      </c>
      <c r="G2" s="1" t="s">
        <v>81</v>
      </c>
      <c r="H2" s="1" t="s">
        <v>2</v>
      </c>
      <c r="I2" s="1" t="s">
        <v>3</v>
      </c>
    </row>
    <row r="3" spans="1:9" x14ac:dyDescent="0.45">
      <c r="A3" t="s">
        <v>4</v>
      </c>
      <c r="B3" t="s">
        <v>5</v>
      </c>
      <c r="C3" t="s">
        <v>70</v>
      </c>
      <c r="D3" t="s">
        <v>6</v>
      </c>
      <c r="E3" t="s">
        <v>78</v>
      </c>
      <c r="F3" t="s">
        <v>74</v>
      </c>
      <c r="G3" t="s">
        <v>72</v>
      </c>
      <c r="H3" t="s">
        <v>6</v>
      </c>
      <c r="I3" t="s">
        <v>7</v>
      </c>
    </row>
    <row r="4" spans="1:9" x14ac:dyDescent="0.45">
      <c r="A4" t="s">
        <v>4</v>
      </c>
      <c r="B4" t="s">
        <v>8</v>
      </c>
      <c r="C4" t="s">
        <v>70</v>
      </c>
      <c r="D4" t="s">
        <v>6</v>
      </c>
      <c r="E4" t="s">
        <v>7</v>
      </c>
      <c r="F4" t="s">
        <v>74</v>
      </c>
      <c r="G4" t="s">
        <v>72</v>
      </c>
      <c r="H4" t="s">
        <v>6</v>
      </c>
      <c r="I4" t="s">
        <v>7</v>
      </c>
    </row>
    <row r="5" spans="1:9" x14ac:dyDescent="0.45">
      <c r="A5" t="s">
        <v>4</v>
      </c>
      <c r="B5" t="s">
        <v>9</v>
      </c>
      <c r="C5" t="s">
        <v>70</v>
      </c>
      <c r="D5" t="s">
        <v>6</v>
      </c>
      <c r="E5" t="s">
        <v>7</v>
      </c>
      <c r="F5" t="s">
        <v>74</v>
      </c>
      <c r="G5" t="s">
        <v>10</v>
      </c>
      <c r="H5" t="s">
        <v>7</v>
      </c>
      <c r="I5" t="s">
        <v>10</v>
      </c>
    </row>
    <row r="6" spans="1:9" x14ac:dyDescent="0.45">
      <c r="A6" t="s">
        <v>4</v>
      </c>
      <c r="B6" t="s">
        <v>11</v>
      </c>
      <c r="C6" t="s">
        <v>70</v>
      </c>
      <c r="D6" t="s">
        <v>7</v>
      </c>
      <c r="E6" t="s">
        <v>7</v>
      </c>
      <c r="F6" t="s">
        <v>74</v>
      </c>
      <c r="G6" t="s">
        <v>72</v>
      </c>
      <c r="H6" t="s">
        <v>7</v>
      </c>
      <c r="I6" t="s">
        <v>12</v>
      </c>
    </row>
    <row r="7" spans="1:9" x14ac:dyDescent="0.45">
      <c r="A7" t="s">
        <v>13</v>
      </c>
      <c r="B7" t="s">
        <v>14</v>
      </c>
      <c r="C7" t="s">
        <v>70</v>
      </c>
      <c r="D7" t="s">
        <v>7</v>
      </c>
      <c r="E7" t="s">
        <v>7</v>
      </c>
      <c r="F7" t="s">
        <v>74</v>
      </c>
      <c r="G7" t="s">
        <v>80</v>
      </c>
      <c r="H7" t="s">
        <v>15</v>
      </c>
      <c r="I7" t="s">
        <v>16</v>
      </c>
    </row>
    <row r="8" spans="1:9" x14ac:dyDescent="0.45">
      <c r="A8" t="s">
        <v>13</v>
      </c>
      <c r="B8" t="s">
        <v>17</v>
      </c>
      <c r="C8" t="s">
        <v>70</v>
      </c>
      <c r="D8" t="s">
        <v>7</v>
      </c>
      <c r="E8" t="s">
        <v>7</v>
      </c>
      <c r="F8" t="s">
        <v>74</v>
      </c>
      <c r="G8" t="s">
        <v>80</v>
      </c>
      <c r="H8" t="s">
        <v>15</v>
      </c>
      <c r="I8" t="s">
        <v>18</v>
      </c>
    </row>
    <row r="9" spans="1:9" x14ac:dyDescent="0.45">
      <c r="A9" t="s">
        <v>13</v>
      </c>
      <c r="B9" t="s">
        <v>19</v>
      </c>
      <c r="C9" t="s">
        <v>70</v>
      </c>
      <c r="D9" t="s">
        <v>7</v>
      </c>
      <c r="E9" t="s">
        <v>7</v>
      </c>
      <c r="F9" t="s">
        <v>74</v>
      </c>
      <c r="G9" t="s">
        <v>80</v>
      </c>
      <c r="H9" t="s">
        <v>15</v>
      </c>
      <c r="I9" t="s">
        <v>20</v>
      </c>
    </row>
    <row r="10" spans="1:9" x14ac:dyDescent="0.45">
      <c r="A10" t="s">
        <v>13</v>
      </c>
      <c r="B10" t="s">
        <v>21</v>
      </c>
      <c r="C10" t="s">
        <v>70</v>
      </c>
      <c r="D10" t="s">
        <v>7</v>
      </c>
      <c r="E10" t="s">
        <v>7</v>
      </c>
      <c r="F10" t="s">
        <v>74</v>
      </c>
      <c r="G10" t="s">
        <v>80</v>
      </c>
      <c r="H10" t="s">
        <v>15</v>
      </c>
      <c r="I10" t="s">
        <v>22</v>
      </c>
    </row>
    <row r="11" spans="1:9" x14ac:dyDescent="0.45">
      <c r="A11" t="s">
        <v>23</v>
      </c>
      <c r="B11" t="s">
        <v>24</v>
      </c>
      <c r="C11" t="s">
        <v>71</v>
      </c>
      <c r="D11" t="s">
        <v>7</v>
      </c>
      <c r="E11" t="s">
        <v>7</v>
      </c>
      <c r="F11" t="s">
        <v>74</v>
      </c>
      <c r="G11" t="s">
        <v>82</v>
      </c>
      <c r="H11" t="s">
        <v>15</v>
      </c>
      <c r="I11" t="s">
        <v>25</v>
      </c>
    </row>
    <row r="12" spans="1:9" x14ac:dyDescent="0.45">
      <c r="A12" t="s">
        <v>73</v>
      </c>
      <c r="B12" t="s">
        <v>24</v>
      </c>
      <c r="C12" t="s">
        <v>71</v>
      </c>
      <c r="D12" t="s">
        <v>7</v>
      </c>
      <c r="E12" t="s">
        <v>7</v>
      </c>
      <c r="F12" t="s">
        <v>74</v>
      </c>
      <c r="G12" t="s">
        <v>83</v>
      </c>
      <c r="H12" t="s">
        <v>15</v>
      </c>
      <c r="I12" t="s">
        <v>25</v>
      </c>
    </row>
    <row r="13" spans="1:9" x14ac:dyDescent="0.45">
      <c r="A13" t="s">
        <v>26</v>
      </c>
      <c r="B13" t="s">
        <v>27</v>
      </c>
      <c r="E13" t="s">
        <v>84</v>
      </c>
      <c r="H13" t="s">
        <v>6</v>
      </c>
      <c r="I13" t="s">
        <v>7</v>
      </c>
    </row>
    <row r="14" spans="1:9" x14ac:dyDescent="0.45">
      <c r="A14" t="s">
        <v>26</v>
      </c>
      <c r="B14" t="s">
        <v>28</v>
      </c>
      <c r="E14" t="s">
        <v>7</v>
      </c>
      <c r="H14" t="s">
        <v>15</v>
      </c>
      <c r="I14" t="s">
        <v>29</v>
      </c>
    </row>
    <row r="15" spans="1:9" x14ac:dyDescent="0.45">
      <c r="A15" t="s">
        <v>26</v>
      </c>
      <c r="B15" t="s">
        <v>30</v>
      </c>
      <c r="H15" t="s">
        <v>15</v>
      </c>
      <c r="I15" t="s">
        <v>31</v>
      </c>
    </row>
    <row r="16" spans="1:9" x14ac:dyDescent="0.45">
      <c r="A16" t="s">
        <v>26</v>
      </c>
      <c r="B16" t="s">
        <v>32</v>
      </c>
      <c r="E16" t="s">
        <v>7</v>
      </c>
      <c r="H16" t="s">
        <v>15</v>
      </c>
      <c r="I16" t="s">
        <v>33</v>
      </c>
    </row>
    <row r="17" spans="1:9" x14ac:dyDescent="0.45">
      <c r="A17" t="s">
        <v>26</v>
      </c>
      <c r="B17" t="s">
        <v>34</v>
      </c>
      <c r="E17" t="s">
        <v>7</v>
      </c>
      <c r="H17" t="s">
        <v>15</v>
      </c>
      <c r="I17" t="s">
        <v>35</v>
      </c>
    </row>
    <row r="18" spans="1:9" x14ac:dyDescent="0.45">
      <c r="A18" t="s">
        <v>36</v>
      </c>
      <c r="B18" t="s">
        <v>37</v>
      </c>
      <c r="E18" t="s">
        <v>74</v>
      </c>
      <c r="H18" t="s">
        <v>6</v>
      </c>
      <c r="I18" t="s">
        <v>7</v>
      </c>
    </row>
    <row r="19" spans="1:9" x14ac:dyDescent="0.45">
      <c r="A19" t="s">
        <v>36</v>
      </c>
      <c r="B19" t="s">
        <v>38</v>
      </c>
      <c r="C19" t="s">
        <v>75</v>
      </c>
      <c r="H19" t="s">
        <v>6</v>
      </c>
      <c r="I19" t="s">
        <v>7</v>
      </c>
    </row>
    <row r="20" spans="1:9" x14ac:dyDescent="0.45">
      <c r="A20" t="s">
        <v>36</v>
      </c>
      <c r="B20" t="s">
        <v>39</v>
      </c>
      <c r="E20" t="s">
        <v>74</v>
      </c>
      <c r="H20" t="s">
        <v>6</v>
      </c>
      <c r="I20" t="s">
        <v>7</v>
      </c>
    </row>
    <row r="21" spans="1:9" x14ac:dyDescent="0.45">
      <c r="A21" t="s">
        <v>40</v>
      </c>
      <c r="B21" t="s">
        <v>24</v>
      </c>
      <c r="C21" t="s">
        <v>71</v>
      </c>
      <c r="H21" t="s">
        <v>15</v>
      </c>
      <c r="I21" t="s">
        <v>41</v>
      </c>
    </row>
    <row r="22" spans="1:9" x14ac:dyDescent="0.45">
      <c r="A22" t="s">
        <v>42</v>
      </c>
      <c r="B22" t="s">
        <v>43</v>
      </c>
      <c r="H22" t="s">
        <v>44</v>
      </c>
      <c r="I22" t="s">
        <v>45</v>
      </c>
    </row>
    <row r="23" spans="1:9" x14ac:dyDescent="0.45">
      <c r="A23" t="s">
        <v>42</v>
      </c>
      <c r="B23" t="s">
        <v>46</v>
      </c>
      <c r="H23" t="s">
        <v>44</v>
      </c>
      <c r="I23" t="s">
        <v>47</v>
      </c>
    </row>
    <row r="24" spans="1:9" x14ac:dyDescent="0.45">
      <c r="A24" t="s">
        <v>42</v>
      </c>
      <c r="B24" t="s">
        <v>48</v>
      </c>
      <c r="H24" t="s">
        <v>44</v>
      </c>
      <c r="I24" t="s">
        <v>49</v>
      </c>
    </row>
    <row r="26" spans="1:9" x14ac:dyDescent="0.45">
      <c r="A26" s="1" t="s">
        <v>69</v>
      </c>
    </row>
    <row r="27" spans="1:9" s="1" customFormat="1" x14ac:dyDescent="0.45">
      <c r="A27" s="1" t="s">
        <v>50</v>
      </c>
      <c r="B27" s="1" t="s">
        <v>1</v>
      </c>
      <c r="I27" s="1" t="s">
        <v>51</v>
      </c>
    </row>
    <row r="28" spans="1:9" x14ac:dyDescent="0.45">
      <c r="A28" t="s">
        <v>52</v>
      </c>
      <c r="B28" t="s">
        <v>53</v>
      </c>
      <c r="I28" t="s">
        <v>54</v>
      </c>
    </row>
    <row r="29" spans="1:9" x14ac:dyDescent="0.45">
      <c r="A29" t="s">
        <v>55</v>
      </c>
      <c r="B29" t="s">
        <v>56</v>
      </c>
      <c r="I29" t="s">
        <v>57</v>
      </c>
    </row>
    <row r="30" spans="1:9" x14ac:dyDescent="0.45">
      <c r="A30" t="s">
        <v>58</v>
      </c>
      <c r="B30" t="s">
        <v>59</v>
      </c>
      <c r="I30" t="s">
        <v>60</v>
      </c>
    </row>
    <row r="31" spans="1:9" x14ac:dyDescent="0.45">
      <c r="A31" t="s">
        <v>61</v>
      </c>
      <c r="B31" t="s">
        <v>62</v>
      </c>
      <c r="I31" t="s">
        <v>63</v>
      </c>
    </row>
    <row r="32" spans="1:9" x14ac:dyDescent="0.45">
      <c r="A32" t="s">
        <v>64</v>
      </c>
      <c r="B32" t="s">
        <v>65</v>
      </c>
      <c r="I32" t="s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sqref="A1:C6"/>
    </sheetView>
  </sheetViews>
  <sheetFormatPr defaultRowHeight="14.25" x14ac:dyDescent="0.45"/>
  <cols>
    <col min="1" max="1" width="15.59765625" bestFit="1" customWidth="1"/>
    <col min="2" max="2" width="15.1328125" bestFit="1" customWidth="1"/>
    <col min="3" max="3" width="35.73046875" bestFit="1" customWidth="1"/>
  </cols>
  <sheetData>
    <row r="1" spans="1:4" x14ac:dyDescent="0.45">
      <c r="A1" s="1" t="s">
        <v>50</v>
      </c>
      <c r="B1" s="1" t="s">
        <v>1</v>
      </c>
      <c r="C1" s="1" t="s">
        <v>51</v>
      </c>
      <c r="D1" s="1"/>
    </row>
    <row r="2" spans="1:4" x14ac:dyDescent="0.45">
      <c r="A2" t="s">
        <v>52</v>
      </c>
      <c r="B2" t="s">
        <v>53</v>
      </c>
      <c r="C2" t="s">
        <v>54</v>
      </c>
    </row>
    <row r="3" spans="1:4" x14ac:dyDescent="0.45">
      <c r="A3" t="s">
        <v>55</v>
      </c>
      <c r="B3" t="s">
        <v>56</v>
      </c>
      <c r="C3" t="s">
        <v>57</v>
      </c>
    </row>
    <row r="4" spans="1:4" x14ac:dyDescent="0.45">
      <c r="A4" t="s">
        <v>58</v>
      </c>
      <c r="B4" t="s">
        <v>59</v>
      </c>
      <c r="C4" t="s">
        <v>60</v>
      </c>
    </row>
    <row r="5" spans="1:4" x14ac:dyDescent="0.45">
      <c r="A5" t="s">
        <v>61</v>
      </c>
      <c r="B5" t="s">
        <v>62</v>
      </c>
      <c r="C5" t="s">
        <v>63</v>
      </c>
    </row>
    <row r="6" spans="1:4" x14ac:dyDescent="0.45">
      <c r="A6" t="s">
        <v>64</v>
      </c>
      <c r="B6" t="s">
        <v>65</v>
      </c>
      <c r="C6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beginning and ends</vt:lpstr>
      <vt:lpstr>distilled</vt:lpstr>
      <vt:lpstr>full point</vt:lpstr>
      <vt:lpstr>Sheet2</vt:lpstr>
      <vt:lpstr>Objective</vt:lpstr>
      <vt:lpstr>Subjective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Overton</cp:lastModifiedBy>
  <dcterms:created xsi:type="dcterms:W3CDTF">2025-12-06T19:28:41Z</dcterms:created>
  <dcterms:modified xsi:type="dcterms:W3CDTF">2025-12-08T15:46:03Z</dcterms:modified>
</cp:coreProperties>
</file>